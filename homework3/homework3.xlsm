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15345" windowHeight="4650" activeTab="1"/>
  </bookViews>
  <sheets>
    <sheet name="Явная схема" sheetId="1" r:id="rId1"/>
    <sheet name="Неявная схема" sheetId="2" r:id="rId2"/>
  </sheet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I18" i="2" s="1"/>
  <c r="J18" i="2" s="1"/>
  <c r="K18" i="2" s="1"/>
  <c r="L18" i="2" s="1"/>
  <c r="M18" i="2" s="1"/>
  <c r="N18" i="2" s="1"/>
  <c r="O18" i="2" s="1"/>
  <c r="P18" i="2" s="1"/>
  <c r="Q18" i="2" s="1"/>
  <c r="R18" i="2" s="1"/>
  <c r="S18" i="2" s="1"/>
  <c r="T18" i="2" s="1"/>
  <c r="U18" i="2" s="1"/>
  <c r="V18" i="2" s="1"/>
  <c r="W18" i="2" s="1"/>
  <c r="X18" i="2" s="1"/>
  <c r="Y18" i="2" s="1"/>
  <c r="Z18" i="2" s="1"/>
  <c r="AA18" i="2" s="1"/>
  <c r="AB18" i="2" s="1"/>
  <c r="AC18" i="2" s="1"/>
  <c r="AD18" i="2" s="1"/>
  <c r="AE18" i="2" s="1"/>
  <c r="AF18" i="2" s="1"/>
  <c r="AG18" i="2" s="1"/>
  <c r="AH18" i="2" s="1"/>
  <c r="AI18" i="2" s="1"/>
  <c r="G18" i="2"/>
  <c r="G20" i="2"/>
  <c r="G19" i="2" s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F20" i="2"/>
  <c r="F19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G16" i="2"/>
  <c r="AJ15" i="2"/>
  <c r="H12" i="2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G12" i="2"/>
  <c r="C4" i="2"/>
  <c r="C18" i="2" s="1"/>
  <c r="C3" i="2"/>
  <c r="C17" i="2" s="1"/>
  <c r="C19" i="2" s="1"/>
  <c r="H19" i="2" l="1"/>
  <c r="I19" i="2" s="1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AI15" i="2" s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3" i="1"/>
  <c r="C4" i="1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<sst xmlns="http://schemas.openxmlformats.org/spreadsheetml/2006/main" count="32" uniqueCount="19">
  <si>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</si>
  <si>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</si>
  <si>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</si>
  <si>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</si>
  <si>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</si>
  <si>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</si>
  <si>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lambda</t>
  </si>
  <si>
    <t>q_start</t>
  </si>
  <si>
    <t>T_start</t>
  </si>
  <si>
    <t>T_end</t>
  </si>
  <si>
    <t>T</t>
  </si>
  <si>
    <t>T_iter</t>
  </si>
  <si>
    <t>A</t>
  </si>
  <si>
    <t>B</t>
  </si>
  <si>
    <t>C</t>
  </si>
  <si>
    <t>q</t>
  </si>
  <si>
    <t>alpha</t>
  </si>
  <si>
    <t>F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</si>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</sst>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Border="1"/>
    <xf numFmtId="0" fontId="0" fillId="0" borderId="1" xfId="0" applyFill="1" applyBorder="1"/>
    <xf numFmtId="0" fontId="0" fillId="0" borderId="2" xfId="0" applyBorder="1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4" xfId="0" applyFill="1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Fill="1" applyBorder="1" applyAlignment="1">
      <alignment horizontal="center"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11" fontId="0" fillId="0" borderId="1" xfId="0" applyNumberForma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287.51358869097902</c:v>
                </c:pt>
                <c:pt idx="2">
                  <c:v>275.15620856195903</c:v>
                </c:pt>
                <c:pt idx="3">
                  <c:v>262.7988284329391</c:v>
                </c:pt>
                <c:pt idx="4">
                  <c:v>250.82258085432088</c:v>
                </c:pt>
                <c:pt idx="5">
                  <c:v>238.84633327570262</c:v>
                </c:pt>
                <c:pt idx="6">
                  <c:v>227.48575311382058</c:v>
                </c:pt>
                <c:pt idx="7">
                  <c:v>216.12517295193848</c:v>
                </c:pt>
                <c:pt idx="8">
                  <c:v>205.58654882489492</c:v>
                </c:pt>
                <c:pt idx="9">
                  <c:v>195.04792469785139</c:v>
                </c:pt>
                <c:pt idx="10">
                  <c:v>185.50008620713913</c:v>
                </c:pt>
                <c:pt idx="11">
                  <c:v>175.95224771642688</c:v>
                </c:pt>
                <c:pt idx="12">
                  <c:v>167.51925615922121</c:v>
                </c:pt>
                <c:pt idx="13">
                  <c:v>159.08626460201555</c:v>
                </c:pt>
                <c:pt idx="14">
                  <c:v>151.84231411018106</c:v>
                </c:pt>
                <c:pt idx="15">
                  <c:v>144.59836361834658</c:v>
                </c:pt>
                <c:pt idx="16">
                  <c:v>138.5650590530542</c:v>
                </c:pt>
                <c:pt idx="17">
                  <c:v>132.53175448776182</c:v>
                </c:pt>
                <c:pt idx="18">
                  <c:v>127.67779454457349</c:v>
                </c:pt>
                <c:pt idx="19">
                  <c:v>122.82383460138522</c:v>
                </c:pt>
                <c:pt idx="20">
                  <c:v>119.06700530820422</c:v>
                </c:pt>
                <c:pt idx="21">
                  <c:v>115.31017601502327</c:v>
                </c:pt>
                <c:pt idx="22">
                  <c:v>112.52145954067888</c:v>
                </c:pt>
                <c:pt idx="23">
                  <c:v>109.73274306633454</c:v>
                </c:pt>
                <c:pt idx="24">
                  <c:v>107.74227361138399</c:v>
                </c:pt>
                <c:pt idx="25">
                  <c:v>105.75180415643351</c:v>
                </c:pt>
                <c:pt idx="26">
                  <c:v>104.3563564090112</c:v>
                </c:pt>
                <c:pt idx="27">
                  <c:v>102.96090866158895</c:v>
                </c:pt>
                <c:pt idx="28">
                  <c:v>101.93258089239076</c:v>
                </c:pt>
                <c:pt idx="29">
                  <c:v>100.90425312319259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75024"/>
        <c:axId val="260578384"/>
      </c:scatterChart>
      <c:valAx>
        <c:axId val="260575024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0578384"/>
        <c:crosses val="autoZero"/>
        <c:crossBetween val="midCat"/>
        <c:majorUnit val="2.0000000000000004E-2"/>
      </c:valAx>
      <c:valAx>
        <c:axId val="260578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057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287.50366824545802</c:v>
                </c:pt>
                <c:pt idx="2">
                  <c:v>275.07220251591156</c:v>
                </c:pt>
                <c:pt idx="3">
                  <c:v>262.76971451516602</c:v>
                </c:pt>
                <c:pt idx="4">
                  <c:v>250.65881749085256</c:v>
                </c:pt>
                <c:pt idx="5">
                  <c:v>238.79990227483364</c:v>
                </c:pt>
                <c:pt idx="6">
                  <c:v>227.25044310017208</c:v>
                </c:pt>
                <c:pt idx="7">
                  <c:v>216.06434222864837</c:v>
                </c:pt>
                <c:pt idx="8">
                  <c:v>205.29132169356342</c:v>
                </c:pt>
                <c:pt idx="9">
                  <c:v>194.97636959296045</c:v>
                </c:pt>
                <c:pt idx="10">
                  <c:v>185.15924738386715</c:v>
                </c:pt>
                <c:pt idx="11">
                  <c:v>175.87406355682708</c:v>
                </c:pt>
                <c:pt idx="12">
                  <c:v>167.14891794157259</c:v>
                </c:pt>
                <c:pt idx="13">
                  <c:v>159.00561973935015</c:v>
                </c:pt>
                <c:pt idx="14">
                  <c:v>151.45948122461755</c:v>
                </c:pt>
                <c:pt idx="15">
                  <c:v>144.51918793629818</c:v>
                </c:pt>
                <c:pt idx="16">
                  <c:v>138.18674511148748</c:v>
                </c:pt>
                <c:pt idx="17">
                  <c:v>132.45749912390266</c:v>
                </c:pt>
                <c:pt idx="18">
                  <c:v>127.32023179272909</c:v>
                </c:pt>
                <c:pt idx="19">
                  <c:v>122.75732463750177</c:v>
                </c:pt>
                <c:pt idx="20">
                  <c:v>118.74498947910942</c:v>
                </c:pt>
                <c:pt idx="21">
                  <c:v>115.25356122892433</c:v>
                </c:pt>
                <c:pt idx="22">
                  <c:v>112.24784826580779</c:v>
                </c:pt>
                <c:pt idx="23">
                  <c:v>109.68753546845531</c:v>
                </c:pt>
                <c:pt idx="24">
                  <c:v>107.5276347386687</c:v>
                </c:pt>
                <c:pt idx="25">
                  <c:v>105.71897770714089</c:v>
                </c:pt>
                <c:pt idx="26">
                  <c:v>104.20874524247924</c:v>
                </c:pt>
                <c:pt idx="27">
                  <c:v>102.94102837042057</c:v>
                </c:pt>
                <c:pt idx="28">
                  <c:v>101.85741523699943</c:v>
                </c:pt>
                <c:pt idx="29">
                  <c:v>100.89759880074715</c:v>
                </c:pt>
                <c:pt idx="30">
                  <c:v>100</c:v>
                </c:pt>
              </c:numCache>
            </c:numRef>
          </c:yVal>
          <c:smooth val="1"/>
        </c:ser>
        <c:ser>
          <c:idx val="1"/>
          <c:order val="1"/>
          <c:tx>
            <c:v>Ряд2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287.51358869097902</c:v>
                </c:pt>
                <c:pt idx="2">
                  <c:v>275.15620856195903</c:v>
                </c:pt>
                <c:pt idx="3">
                  <c:v>262.7988284329391</c:v>
                </c:pt>
                <c:pt idx="4">
                  <c:v>250.82258085432088</c:v>
                </c:pt>
                <c:pt idx="5">
                  <c:v>238.84633327570262</c:v>
                </c:pt>
                <c:pt idx="6">
                  <c:v>227.48575311382058</c:v>
                </c:pt>
                <c:pt idx="7">
                  <c:v>216.12517295193848</c:v>
                </c:pt>
                <c:pt idx="8">
                  <c:v>205.58654882489492</c:v>
                </c:pt>
                <c:pt idx="9">
                  <c:v>195.04792469785139</c:v>
                </c:pt>
                <c:pt idx="10">
                  <c:v>185.50008620713913</c:v>
                </c:pt>
                <c:pt idx="11">
                  <c:v>175.95224771642688</c:v>
                </c:pt>
                <c:pt idx="12">
                  <c:v>167.51925615922121</c:v>
                </c:pt>
                <c:pt idx="13">
                  <c:v>159.08626460201555</c:v>
                </c:pt>
                <c:pt idx="14">
                  <c:v>151.84231411018106</c:v>
                </c:pt>
                <c:pt idx="15">
                  <c:v>144.59836361834658</c:v>
                </c:pt>
                <c:pt idx="16">
                  <c:v>138.5650590530542</c:v>
                </c:pt>
                <c:pt idx="17">
                  <c:v>132.53175448776182</c:v>
                </c:pt>
                <c:pt idx="18">
                  <c:v>127.67779454457349</c:v>
                </c:pt>
                <c:pt idx="19">
                  <c:v>122.82383460138522</c:v>
                </c:pt>
                <c:pt idx="20">
                  <c:v>119.06700530820422</c:v>
                </c:pt>
                <c:pt idx="21">
                  <c:v>115.31017601502327</c:v>
                </c:pt>
                <c:pt idx="22">
                  <c:v>112.52145954067888</c:v>
                </c:pt>
                <c:pt idx="23">
                  <c:v>109.73274306633454</c:v>
                </c:pt>
                <c:pt idx="24">
                  <c:v>107.74227361138399</c:v>
                </c:pt>
                <c:pt idx="25">
                  <c:v>105.75180415643351</c:v>
                </c:pt>
                <c:pt idx="26">
                  <c:v>104.3563564090112</c:v>
                </c:pt>
                <c:pt idx="27">
                  <c:v>102.96090866158895</c:v>
                </c:pt>
                <c:pt idx="28">
                  <c:v>101.93258089239076</c:v>
                </c:pt>
                <c:pt idx="29">
                  <c:v>100.90425312319259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281760"/>
        <c:axId val="361285680"/>
      </c:scatterChart>
      <c:valAx>
        <c:axId val="3612817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1285680"/>
        <c:crosses val="autoZero"/>
        <c:crossBetween val="midCat"/>
        <c:majorUnit val="2.0000000000000004E-2"/>
      </c:valAx>
      <c:valAx>
        <c:axId val="36128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128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225137</xdr:colOff>
      <xdr:row>16</xdr:row>
      <xdr:rowOff>121227</xdr:rowOff>
    </xdr:from>
    <xdr:to>
      <xdr:col>20</xdr:col>
      <xdr:colOff>398318</xdr:colOff>
      <xdr:row>40</xdr:row>
      <xdr:rowOff>173182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190501</xdr:colOff>
      <xdr:row>16</xdr:row>
      <xdr:rowOff>155863</xdr:rowOff>
    </xdr:from>
    <xdr:to>
      <xdr:col>11</xdr:col>
      <xdr:colOff>190500</xdr:colOff>
      <xdr:row>18</xdr:row>
      <xdr:rowOff>128724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1"/>
            <xdr:cNvSpPr txBox="1"/>
          </xdr:nvSpPr>
          <xdr:spPr>
            <a:xfrm>
              <a:off x="6251865" y="3203863"/>
              <a:ext cx="606135" cy="35386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3" name="TextBox 1"/>
            <xdr:cNvSpPr txBox="1"/>
          </xdr:nvSpPr>
          <xdr:spPr>
            <a:xfrm>
              <a:off x="6251865" y="3203863"/>
              <a:ext cx="606135" cy="35386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xdr:txBody>
        </xdr:sp>
      </mc:Fallback>
    </mc:AlternateContent>
    <xdr:clientData/>
  </xdr:twoCellAnchor>
  <xdr:twoCellAnchor>
    <xdr:from>
      <xdr:col>19</xdr:col>
      <xdr:colOff>398319</xdr:colOff>
      <xdr:row>39</xdr:row>
      <xdr:rowOff>34637</xdr:rowOff>
    </xdr:from>
    <xdr:to>
      <xdr:col>20</xdr:col>
      <xdr:colOff>371105</xdr:colOff>
      <xdr:row>40</xdr:row>
      <xdr:rowOff>116280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1"/>
            <xdr:cNvSpPr txBox="1"/>
          </xdr:nvSpPr>
          <xdr:spPr>
            <a:xfrm>
              <a:off x="11914910" y="7464137"/>
              <a:ext cx="578922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4" name="TextBox 1"/>
            <xdr:cNvSpPr txBox="1"/>
          </xdr:nvSpPr>
          <xdr:spPr>
            <a:xfrm>
              <a:off x="11914910" y="7464137"/>
              <a:ext cx="578922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259772</xdr:colOff>
      <xdr:row>23</xdr:row>
      <xdr:rowOff>86591</xdr:rowOff>
    </xdr:from>
    <xdr:to>
      <xdr:col>23</xdr:col>
      <xdr:colOff>363682</xdr:colOff>
      <xdr:row>44</xdr:row>
      <xdr:rowOff>81395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242453</xdr:colOff>
      <xdr:row>23</xdr:row>
      <xdr:rowOff>103910</xdr:rowOff>
    </xdr:from>
    <xdr:to>
      <xdr:col>14</xdr:col>
      <xdr:colOff>86590</xdr:colOff>
      <xdr:row>25</xdr:row>
      <xdr:rowOff>76771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1"/>
            <xdr:cNvSpPr txBox="1"/>
          </xdr:nvSpPr>
          <xdr:spPr>
            <a:xfrm>
              <a:off x="8312726" y="4485410"/>
              <a:ext cx="450273" cy="35386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3" name="TextBox 1"/>
            <xdr:cNvSpPr txBox="1"/>
          </xdr:nvSpPr>
          <xdr:spPr>
            <a:xfrm>
              <a:off x="8312726" y="4485410"/>
              <a:ext cx="450273" cy="35386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xdr:txBody>
        </xdr:sp>
      </mc:Fallback>
    </mc:AlternateContent>
    <xdr:clientData/>
  </xdr:twoCellAnchor>
  <xdr:twoCellAnchor>
    <xdr:from>
      <xdr:col>22</xdr:col>
      <xdr:colOff>346364</xdr:colOff>
      <xdr:row>43</xdr:row>
      <xdr:rowOff>0</xdr:rowOff>
    </xdr:from>
    <xdr:to>
      <xdr:col>23</xdr:col>
      <xdr:colOff>319150</xdr:colOff>
      <xdr:row>44</xdr:row>
      <xdr:rowOff>81643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1"/>
            <xdr:cNvSpPr txBox="1"/>
          </xdr:nvSpPr>
          <xdr:spPr>
            <a:xfrm>
              <a:off x="13871864" y="8191500"/>
              <a:ext cx="578922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4" name="TextBox 1"/>
            <xdr:cNvSpPr txBox="1"/>
          </xdr:nvSpPr>
          <xdr:spPr>
            <a:xfrm>
              <a:off x="13871864" y="8191500"/>
              <a:ext cx="578922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J15"/>
  <sheetViews>
    <sheetView zoomScale="55" zoomScaleNormal="55" workbookViewId="0">
      <selection activeCell="G13" sqref="G13:AI13"/>
    </sheetView>
  </sheetViews>
  <sheetFormatPr defaultRowHeight="15" x14ac:dyDescent="0.25"/>
  <sheetData>
    <row r="2" spans="1:36" x14ac:dyDescent="0.25">
      <c r="B2" s="1" t="s">
        <v>0</v>
      </c>
      <c r="C2" s="1">
        <v>0.1</v>
      </c>
    </row>
    <row r="3" spans="1:36" x14ac:dyDescent="0.25">
      <c r="B3" s="1" t="s">
        <v>1</v>
      </c>
      <c r="C3" s="2">
        <f>C2/30</f>
        <v>3.3333333333333335E-3</v>
      </c>
    </row>
    <row r="4" spans="1:36" x14ac:dyDescent="0.25">
      <c r="B4" s="1" t="s">
        <v>2</v>
      </c>
      <c r="C4" s="2">
        <f>(C8*C7*C3^2)/(2*C9)</f>
        <v>0.4333333333333334</v>
      </c>
    </row>
    <row r="5" spans="1:36" x14ac:dyDescent="0.25">
      <c r="B5" s="1" t="s">
        <v>3</v>
      </c>
      <c r="C5" s="1">
        <v>60</v>
      </c>
      <c r="D5">
        <v>60.233333333333341</v>
      </c>
    </row>
    <row r="6" spans="1:36" x14ac:dyDescent="0.25">
      <c r="A6" s="3"/>
      <c r="B6" s="3"/>
      <c r="C6" s="3"/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A10" s="3"/>
      <c r="B10" s="3"/>
      <c r="C10" s="3"/>
    </row>
    <row r="11" spans="1:36" x14ac:dyDescent="0.25">
      <c r="B11" s="3"/>
      <c r="C11" s="3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1:36" x14ac:dyDescent="0.25">
      <c r="B12" s="3"/>
      <c r="C12" s="3"/>
      <c r="E12" s="1" t="s">
        <v>0</v>
      </c>
      <c r="F12" s="7">
        <v>0</v>
      </c>
      <c r="G12" s="7">
        <f>F12+$C$3</f>
        <v>3.3333333333333335E-3</v>
      </c>
      <c r="H12" s="7">
        <f t="shared" ref="H12:AJ12" si="0">G12+$C$3</f>
        <v>6.6666666666666671E-3</v>
      </c>
      <c r="I12" s="7">
        <f t="shared" si="0"/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1:36" x14ac:dyDescent="0.25">
      <c r="B13" s="4" t="s">
        <v>7</v>
      </c>
      <c r="C13" s="4">
        <v>92000</v>
      </c>
      <c r="E13" s="1" t="s">
        <v>10</v>
      </c>
      <c r="F13" s="6">
        <v>300</v>
      </c>
      <c r="G13" s="6">
        <v>287.51358869097902</v>
      </c>
      <c r="H13" s="6">
        <v>275.15620856195903</v>
      </c>
      <c r="I13" s="6">
        <v>262.7988284329391</v>
      </c>
      <c r="J13" s="6">
        <v>250.82258085432088</v>
      </c>
      <c r="K13" s="6">
        <v>238.84633327570262</v>
      </c>
      <c r="L13" s="6">
        <v>227.48575311382058</v>
      </c>
      <c r="M13" s="6">
        <v>216.12517295193848</v>
      </c>
      <c r="N13" s="6">
        <v>205.58654882489492</v>
      </c>
      <c r="O13" s="6">
        <v>195.04792469785139</v>
      </c>
      <c r="P13" s="6">
        <v>185.50008620713913</v>
      </c>
      <c r="Q13" s="6">
        <v>175.95224771642688</v>
      </c>
      <c r="R13" s="6">
        <v>167.51925615922121</v>
      </c>
      <c r="S13" s="6">
        <v>159.08626460201555</v>
      </c>
      <c r="T13" s="6">
        <v>151.84231411018106</v>
      </c>
      <c r="U13" s="6">
        <v>144.59836361834658</v>
      </c>
      <c r="V13" s="6">
        <v>138.5650590530542</v>
      </c>
      <c r="W13" s="6">
        <v>132.53175448776182</v>
      </c>
      <c r="X13" s="6">
        <v>127.67779454457349</v>
      </c>
      <c r="Y13" s="6">
        <v>122.82383460138522</v>
      </c>
      <c r="Z13" s="6">
        <v>119.06700530820422</v>
      </c>
      <c r="AA13" s="6">
        <v>115.31017601502327</v>
      </c>
      <c r="AB13" s="6">
        <v>112.52145954067888</v>
      </c>
      <c r="AC13" s="6">
        <v>109.73274306633454</v>
      </c>
      <c r="AD13" s="6">
        <v>107.74227361138399</v>
      </c>
      <c r="AE13" s="6">
        <v>105.75180415643351</v>
      </c>
      <c r="AF13" s="6">
        <v>104.3563564090112</v>
      </c>
      <c r="AG13" s="6">
        <v>102.96090866158895</v>
      </c>
      <c r="AH13" s="6">
        <v>101.93258089239076</v>
      </c>
      <c r="AI13" s="6">
        <v>100.90425312319259</v>
      </c>
      <c r="AJ13" s="6">
        <v>100</v>
      </c>
    </row>
    <row r="14" spans="1:36" x14ac:dyDescent="0.25">
      <c r="B14" s="5" t="s">
        <v>8</v>
      </c>
      <c r="C14" s="5">
        <v>300</v>
      </c>
    </row>
    <row r="15" spans="1:36" x14ac:dyDescent="0.25">
      <c r="B15" s="4" t="s">
        <v>9</v>
      </c>
      <c r="C15" s="4">
        <v>100</v>
      </c>
      <c r="E15" t="s">
        <v>11</v>
      </c>
      <c r="G15">
        <f>G13+(($C$9*$C$4)/($C$8*$C$7))*((H13-2*G13+F13)/$C$3^2)</f>
        <v>287.57810428097952</v>
      </c>
      <c r="H15">
        <f t="shared" ref="H15:AI15" si="1">H13+(($C$9*$C$4)/($C$8*$C$7))*((I13-2*H13+G13)/$C$3^2)</f>
        <v>275.15620856195903</v>
      </c>
      <c r="I15">
        <f t="shared" si="1"/>
        <v>262.98939470813997</v>
      </c>
      <c r="J15">
        <f t="shared" si="1"/>
        <v>250.82258085432088</v>
      </c>
      <c r="K15">
        <f t="shared" si="1"/>
        <v>239.15416698407074</v>
      </c>
      <c r="L15">
        <f t="shared" si="1"/>
        <v>227.48575311382055</v>
      </c>
      <c r="M15">
        <f t="shared" si="1"/>
        <v>216.53615096935775</v>
      </c>
      <c r="N15">
        <f t="shared" si="1"/>
        <v>205.58654882489492</v>
      </c>
      <c r="O15">
        <f t="shared" si="1"/>
        <v>195.54331751601703</v>
      </c>
      <c r="P15">
        <f t="shared" si="1"/>
        <v>185.50008620713913</v>
      </c>
      <c r="Q15">
        <f t="shared" si="1"/>
        <v>176.50967118318016</v>
      </c>
      <c r="R15">
        <f t="shared" si="1"/>
        <v>167.51925615922121</v>
      </c>
      <c r="S15">
        <f t="shared" si="1"/>
        <v>159.68078513470113</v>
      </c>
      <c r="T15">
        <f t="shared" si="1"/>
        <v>151.84231411018106</v>
      </c>
      <c r="U15">
        <f t="shared" si="1"/>
        <v>145.20368658161763</v>
      </c>
      <c r="V15">
        <f t="shared" si="1"/>
        <v>138.5650590530542</v>
      </c>
      <c r="W15">
        <f t="shared" si="1"/>
        <v>133.12142679881384</v>
      </c>
      <c r="X15">
        <f t="shared" si="1"/>
        <v>127.67779454457352</v>
      </c>
      <c r="Y15">
        <f t="shared" si="1"/>
        <v>123.37239992638885</v>
      </c>
      <c r="Z15">
        <f t="shared" si="1"/>
        <v>119.06700530820424</v>
      </c>
      <c r="AA15">
        <f t="shared" si="1"/>
        <v>115.79423242444155</v>
      </c>
      <c r="AB15">
        <f t="shared" si="1"/>
        <v>112.5214595406789</v>
      </c>
      <c r="AC15">
        <f t="shared" si="1"/>
        <v>110.13186657603143</v>
      </c>
      <c r="AD15">
        <f t="shared" si="1"/>
        <v>107.74227361138402</v>
      </c>
      <c r="AE15">
        <f t="shared" si="1"/>
        <v>106.0493150101976</v>
      </c>
      <c r="AF15">
        <f t="shared" si="1"/>
        <v>104.35635640901123</v>
      </c>
      <c r="AG15">
        <f t="shared" si="1"/>
        <v>103.14446865070099</v>
      </c>
      <c r="AH15">
        <f t="shared" si="1"/>
        <v>101.93258089239077</v>
      </c>
      <c r="AI15">
        <f t="shared" si="1"/>
        <v>100.96629044619537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C0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J20"/>
  <sheetViews>
    <sheetView tabSelected="1" zoomScale="55" zoomScaleNormal="55" workbookViewId="0">
      <selection activeCell="F26" sqref="F26"/>
    </sheetView>
  </sheetViews>
  <sheetFormatPr defaultRowHeight="15" x14ac:dyDescent="0.25"/>
  <cols>
    <col min="6" max="6" width="11.85546875" customWidth="1"/>
    <col min="8" max="8" width="9.140625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2">
        <f>C2/30</f>
        <v>3.3333333333333335E-3</v>
      </c>
    </row>
    <row r="4" spans="2:36" x14ac:dyDescent="0.25">
      <c r="B4" s="1" t="s">
        <v>2</v>
      </c>
      <c r="C4" s="2">
        <f>(C8*C7*C3^2)/(2*C9)</f>
        <v>0.4333333333333334</v>
      </c>
    </row>
    <row r="5" spans="2:36" x14ac:dyDescent="0.25">
      <c r="B5" s="1" t="s">
        <v>3</v>
      </c>
      <c r="C5" s="1">
        <v>60</v>
      </c>
      <c r="D5">
        <v>60.233333333333341</v>
      </c>
    </row>
    <row r="6" spans="2:36" x14ac:dyDescent="0.25">
      <c r="B6" s="3"/>
      <c r="C6" s="3"/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</row>
    <row r="10" spans="2:36" x14ac:dyDescent="0.25">
      <c r="B10" s="3"/>
      <c r="C10" s="3"/>
    </row>
    <row r="11" spans="2:36" x14ac:dyDescent="0.25">
      <c r="B11" s="3"/>
      <c r="C11" s="3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2:36" x14ac:dyDescent="0.25">
      <c r="B12" s="3"/>
      <c r="C12" s="3"/>
      <c r="E12" s="9" t="s">
        <v>0</v>
      </c>
      <c r="F12" s="7">
        <v>0</v>
      </c>
      <c r="G12" s="7">
        <f>F12+$C$3</f>
        <v>3.3333333333333335E-3</v>
      </c>
      <c r="H12" s="7">
        <f t="shared" ref="H12:AJ12" si="0">G12+$C$3</f>
        <v>6.6666666666666671E-3</v>
      </c>
      <c r="I12" s="7">
        <f t="shared" si="0"/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2:36" x14ac:dyDescent="0.25">
      <c r="B13" s="8"/>
      <c r="C13" s="8"/>
      <c r="E13" s="10" t="s">
        <v>10</v>
      </c>
      <c r="F13" s="6">
        <v>300</v>
      </c>
      <c r="G13" s="6">
        <v>287.50366824545802</v>
      </c>
      <c r="H13" s="6">
        <v>275.07220251591156</v>
      </c>
      <c r="I13" s="6">
        <v>262.76971451516602</v>
      </c>
      <c r="J13" s="6">
        <v>250.65881749085256</v>
      </c>
      <c r="K13" s="6">
        <v>238.79990227483364</v>
      </c>
      <c r="L13" s="6">
        <v>227.25044310017208</v>
      </c>
      <c r="M13" s="6">
        <v>216.06434222864837</v>
      </c>
      <c r="N13" s="6">
        <v>205.29132169356342</v>
      </c>
      <c r="O13" s="6">
        <v>194.97636959296045</v>
      </c>
      <c r="P13" s="6">
        <v>185.15924738386715</v>
      </c>
      <c r="Q13" s="6">
        <v>175.87406355682708</v>
      </c>
      <c r="R13" s="6">
        <v>167.14891794157259</v>
      </c>
      <c r="S13" s="6">
        <v>159.00561973935015</v>
      </c>
      <c r="T13" s="6">
        <v>151.45948122461755</v>
      </c>
      <c r="U13" s="6">
        <v>144.51918793629818</v>
      </c>
      <c r="V13" s="6">
        <v>138.18674511148748</v>
      </c>
      <c r="W13" s="6">
        <v>132.45749912390266</v>
      </c>
      <c r="X13" s="6">
        <v>127.32023179272909</v>
      </c>
      <c r="Y13" s="6">
        <v>122.75732463750177</v>
      </c>
      <c r="Z13" s="6">
        <v>118.74498947910942</v>
      </c>
      <c r="AA13" s="6">
        <v>115.25356122892433</v>
      </c>
      <c r="AB13" s="6">
        <v>112.24784826580779</v>
      </c>
      <c r="AC13" s="6">
        <v>109.68753546845531</v>
      </c>
      <c r="AD13" s="6">
        <v>107.5276347386687</v>
      </c>
      <c r="AE13" s="6">
        <v>105.71897770714089</v>
      </c>
      <c r="AF13" s="6">
        <v>104.20874524247924</v>
      </c>
      <c r="AG13" s="6">
        <v>102.94102837042057</v>
      </c>
      <c r="AH13" s="6">
        <v>101.85741523699943</v>
      </c>
      <c r="AI13" s="6">
        <v>100.89759880074715</v>
      </c>
      <c r="AJ13" s="6">
        <v>100</v>
      </c>
    </row>
    <row r="14" spans="2:36" x14ac:dyDescent="0.25">
      <c r="B14" s="5" t="s">
        <v>8</v>
      </c>
      <c r="C14" s="5">
        <v>300</v>
      </c>
      <c r="E14" s="10"/>
    </row>
    <row r="15" spans="2:36" x14ac:dyDescent="0.25">
      <c r="B15" s="4" t="s">
        <v>9</v>
      </c>
      <c r="C15" s="4">
        <v>100</v>
      </c>
      <c r="E15" s="10" t="s">
        <v>11</v>
      </c>
      <c r="F15" s="11"/>
      <c r="G15" s="12">
        <f>G18*H15+G19</f>
        <v>287.53591393880481</v>
      </c>
      <c r="H15" s="12">
        <f t="shared" ref="H15:AI15" si="1">H18*I15+H19</f>
        <v>275.13631926430332</v>
      </c>
      <c r="I15" s="12">
        <f t="shared" si="1"/>
        <v>262.86495808658526</v>
      </c>
      <c r="J15" s="12">
        <f t="shared" si="1"/>
        <v>250.78408405170541</v>
      </c>
      <c r="K15" s="12">
        <f t="shared" si="1"/>
        <v>238.95374313853125</v>
      </c>
      <c r="L15" s="12">
        <f t="shared" si="1"/>
        <v>227.43108395275229</v>
      </c>
      <c r="M15" s="12">
        <f t="shared" si="1"/>
        <v>216.26970647213372</v>
      </c>
      <c r="N15" s="12">
        <f t="shared" si="1"/>
        <v>205.51905747848582</v>
      </c>
      <c r="O15" s="12">
        <f t="shared" si="1"/>
        <v>195.22388005468272</v>
      </c>
      <c r="P15" s="12">
        <f t="shared" si="1"/>
        <v>185.42372355432423</v>
      </c>
      <c r="Q15" s="12">
        <f t="shared" si="1"/>
        <v>176.15251939487985</v>
      </c>
      <c r="R15" s="12">
        <f t="shared" si="1"/>
        <v>167.43822691154085</v>
      </c>
      <c r="S15" s="12">
        <f t="shared" si="1"/>
        <v>159.30255236813841</v>
      </c>
      <c r="T15" s="12">
        <f t="shared" si="1"/>
        <v>151.7607430823125</v>
      </c>
      <c r="U15" s="12">
        <f t="shared" si="1"/>
        <v>144.82145751187642</v>
      </c>
      <c r="V15" s="12">
        <f t="shared" si="1"/>
        <v>138.48671109259678</v>
      </c>
      <c r="W15" s="12">
        <f t="shared" si="1"/>
        <v>132.7518966355357</v>
      </c>
      <c r="X15" s="12">
        <f t="shared" si="1"/>
        <v>127.60587720174067</v>
      </c>
      <c r="Y15" s="12">
        <f t="shared" si="1"/>
        <v>123.03114858596877</v>
      </c>
      <c r="Z15" s="12">
        <f t="shared" si="1"/>
        <v>119.00406786713084</v>
      </c>
      <c r="AA15" s="12">
        <f t="shared" si="1"/>
        <v>115.49514392433575</v>
      </c>
      <c r="AB15" s="12">
        <f t="shared" si="1"/>
        <v>112.4693853723635</v>
      </c>
      <c r="AC15" s="12">
        <f t="shared" si="1"/>
        <v>109.88670103350267</v>
      </c>
      <c r="AD15" s="12">
        <f t="shared" si="1"/>
        <v>107.70234782473651</v>
      </c>
      <c r="AE15" s="12">
        <f t="shared" si="1"/>
        <v>105.86742078810592</v>
      </c>
      <c r="AF15" s="12">
        <f t="shared" si="1"/>
        <v>104.32937991340535</v>
      </c>
      <c r="AG15" s="12">
        <f t="shared" si="1"/>
        <v>103.03260838055692</v>
      </c>
      <c r="AH15" s="12">
        <f t="shared" si="1"/>
        <v>101.91899686798118</v>
      </c>
      <c r="AI15" s="12">
        <f t="shared" si="1"/>
        <v>100.92854861736888</v>
      </c>
      <c r="AJ15" s="13">
        <f>C15</f>
        <v>100</v>
      </c>
    </row>
    <row r="16" spans="2:36" x14ac:dyDescent="0.25">
      <c r="E16" s="5" t="s">
        <v>15</v>
      </c>
      <c r="F16" s="15">
        <v>0</v>
      </c>
      <c r="G16" s="16">
        <f>-$C$9*(G13-F13)/$C$3</f>
        <v>172449.37821267938</v>
      </c>
      <c r="H16" s="16">
        <f t="shared" ref="H16:AI16" si="2">-$C$9*(H13-G13)/$C$3</f>
        <v>171554.22706774113</v>
      </c>
      <c r="I16" s="16">
        <f t="shared" si="2"/>
        <v>169774.33441028846</v>
      </c>
      <c r="J16" s="16">
        <f t="shared" si="2"/>
        <v>167130.37893552575</v>
      </c>
      <c r="K16" s="16">
        <f t="shared" si="2"/>
        <v>163653.02998106103</v>
      </c>
      <c r="L16" s="16">
        <f t="shared" si="2"/>
        <v>159382.53661032955</v>
      </c>
      <c r="M16" s="16">
        <f t="shared" si="2"/>
        <v>154368.19202702714</v>
      </c>
      <c r="N16" s="16">
        <f t="shared" si="2"/>
        <v>148667.68338417236</v>
      </c>
      <c r="O16" s="16">
        <f t="shared" si="2"/>
        <v>142346.33898832093</v>
      </c>
      <c r="P16" s="16">
        <f t="shared" si="2"/>
        <v>135476.28648548751</v>
      </c>
      <c r="Q16" s="16">
        <f t="shared" si="2"/>
        <v>128135.53681315298</v>
      </c>
      <c r="R16" s="16">
        <f t="shared" si="2"/>
        <v>120407.00949051196</v>
      </c>
      <c r="S16" s="16">
        <f t="shared" si="2"/>
        <v>112377.51519066966</v>
      </c>
      <c r="T16" s="16">
        <f t="shared" si="2"/>
        <v>104136.71150330993</v>
      </c>
      <c r="U16" s="16">
        <f t="shared" si="2"/>
        <v>95776.047378807256</v>
      </c>
      <c r="V16" s="16">
        <f t="shared" si="2"/>
        <v>87387.710982387638</v>
      </c>
      <c r="W16" s="16">
        <f t="shared" si="2"/>
        <v>79063.594628670486</v>
      </c>
      <c r="X16" s="16">
        <f t="shared" si="2"/>
        <v>70894.289170195334</v>
      </c>
      <c r="Y16" s="16">
        <f t="shared" si="2"/>
        <v>62968.118742137034</v>
      </c>
      <c r="Z16" s="16">
        <f t="shared" si="2"/>
        <v>55370.225185814379</v>
      </c>
      <c r="AA16" s="16">
        <f t="shared" si="2"/>
        <v>48181.709852554304</v>
      </c>
      <c r="AB16" s="16">
        <f t="shared" si="2"/>
        <v>41478.838891008207</v>
      </c>
      <c r="AC16" s="16">
        <f t="shared" si="2"/>
        <v>35332.316603464227</v>
      </c>
      <c r="AD16" s="16">
        <f t="shared" si="2"/>
        <v>29806.630071055268</v>
      </c>
      <c r="AE16" s="16">
        <f t="shared" si="2"/>
        <v>24959.467035083653</v>
      </c>
      <c r="AF16" s="16">
        <f t="shared" si="2"/>
        <v>20841.208012330841</v>
      </c>
      <c r="AG16" s="16">
        <f t="shared" si="2"/>
        <v>17494.492834409655</v>
      </c>
      <c r="AH16" s="16">
        <f t="shared" si="2"/>
        <v>14953.861241211715</v>
      </c>
      <c r="AI16" s="16">
        <f t="shared" si="2"/>
        <v>13245.466820281496</v>
      </c>
      <c r="AJ16" s="17"/>
    </row>
    <row r="17" spans="2:35" x14ac:dyDescent="0.25">
      <c r="B17" s="1" t="s">
        <v>12</v>
      </c>
      <c r="C17" s="1">
        <f>C9/(C3^2)</f>
        <v>4139999.9999999991</v>
      </c>
    </row>
    <row r="18" spans="2:35" x14ac:dyDescent="0.25">
      <c r="B18" s="1" t="s">
        <v>13</v>
      </c>
      <c r="C18" s="1">
        <f>(2*C9)/(C3^2)+(C8*C7)/C4</f>
        <v>16559999.999999996</v>
      </c>
      <c r="E18" s="14" t="s">
        <v>16</v>
      </c>
      <c r="F18" s="1">
        <v>0</v>
      </c>
      <c r="G18" s="1">
        <f>$C$17/($C$18-$C$19*F18)</f>
        <v>0.25</v>
      </c>
      <c r="H18" s="1">
        <f t="shared" ref="H18:AI18" si="3">$C$17/($C$18-$C$19*G18)</f>
        <v>0.26666666666666666</v>
      </c>
      <c r="I18" s="1">
        <f t="shared" si="3"/>
        <v>0.26785714285714285</v>
      </c>
      <c r="J18" s="1">
        <f t="shared" si="3"/>
        <v>0.26794258373205743</v>
      </c>
      <c r="K18" s="1">
        <f t="shared" si="3"/>
        <v>0.26794871794871794</v>
      </c>
      <c r="L18" s="1">
        <f t="shared" si="3"/>
        <v>0.26794915836482308</v>
      </c>
      <c r="M18" s="1">
        <f t="shared" si="3"/>
        <v>0.26794918998527245</v>
      </c>
      <c r="N18" s="1">
        <f t="shared" si="3"/>
        <v>0.26794919225551855</v>
      </c>
      <c r="O18" s="1">
        <f t="shared" si="3"/>
        <v>0.26794919241851489</v>
      </c>
      <c r="P18" s="1">
        <f t="shared" si="3"/>
        <v>0.26794919243021753</v>
      </c>
      <c r="Q18" s="1">
        <f t="shared" si="3"/>
        <v>0.26794919243105775</v>
      </c>
      <c r="R18" s="1">
        <f t="shared" si="3"/>
        <v>0.26794919243111803</v>
      </c>
      <c r="S18" s="1">
        <f t="shared" si="3"/>
        <v>0.26794919243112236</v>
      </c>
      <c r="T18" s="1">
        <f t="shared" si="3"/>
        <v>0.2679491924311227</v>
      </c>
      <c r="U18" s="1">
        <f t="shared" si="3"/>
        <v>0.2679491924311227</v>
      </c>
      <c r="V18" s="1">
        <f t="shared" si="3"/>
        <v>0.2679491924311227</v>
      </c>
      <c r="W18" s="1">
        <f t="shared" si="3"/>
        <v>0.2679491924311227</v>
      </c>
      <c r="X18" s="1">
        <f t="shared" si="3"/>
        <v>0.2679491924311227</v>
      </c>
      <c r="Y18" s="1">
        <f t="shared" si="3"/>
        <v>0.2679491924311227</v>
      </c>
      <c r="Z18" s="1">
        <f t="shared" si="3"/>
        <v>0.2679491924311227</v>
      </c>
      <c r="AA18" s="1">
        <f t="shared" si="3"/>
        <v>0.2679491924311227</v>
      </c>
      <c r="AB18" s="1">
        <f t="shared" si="3"/>
        <v>0.2679491924311227</v>
      </c>
      <c r="AC18" s="1">
        <f t="shared" si="3"/>
        <v>0.2679491924311227</v>
      </c>
      <c r="AD18" s="1">
        <f t="shared" si="3"/>
        <v>0.2679491924311227</v>
      </c>
      <c r="AE18" s="1">
        <f t="shared" si="3"/>
        <v>0.2679491924311227</v>
      </c>
      <c r="AF18" s="1">
        <f t="shared" si="3"/>
        <v>0.2679491924311227</v>
      </c>
      <c r="AG18" s="1">
        <f t="shared" si="3"/>
        <v>0.2679491924311227</v>
      </c>
      <c r="AH18" s="1">
        <f t="shared" si="3"/>
        <v>0.2679491924311227</v>
      </c>
      <c r="AI18" s="1">
        <f t="shared" si="3"/>
        <v>0.2679491924311227</v>
      </c>
    </row>
    <row r="19" spans="2:35" x14ac:dyDescent="0.25">
      <c r="B19" s="1" t="s">
        <v>14</v>
      </c>
      <c r="C19" s="1">
        <f>C17</f>
        <v>4139999.9999999991</v>
      </c>
      <c r="E19" s="14" t="s">
        <v>18</v>
      </c>
      <c r="F19" s="1">
        <f>F13</f>
        <v>300</v>
      </c>
      <c r="G19" s="1">
        <f>(F19*$C$19-G20)/($C$18-$C$19*F18)</f>
        <v>218.75183412272901</v>
      </c>
      <c r="H19" s="1">
        <f t="shared" ref="H19:AI19" si="4">(G19*$C$19-H20)/($C$18-$C$19*G18)</f>
        <v>205.03899710788059</v>
      </c>
      <c r="I19" s="1">
        <f t="shared" si="4"/>
        <v>195.69064985844986</v>
      </c>
      <c r="J19" s="1">
        <f t="shared" si="4"/>
        <v>186.75820072272097</v>
      </c>
      <c r="K19" s="1">
        <f t="shared" si="4"/>
        <v>178.01387577170402</v>
      </c>
      <c r="L19" s="1">
        <f t="shared" si="4"/>
        <v>169.48179812373672</v>
      </c>
      <c r="M19" s="1">
        <f t="shared" si="4"/>
        <v>161.20104149423679</v>
      </c>
      <c r="N19" s="1">
        <f t="shared" si="4"/>
        <v>153.20897650884535</v>
      </c>
      <c r="O19" s="1">
        <f t="shared" si="4"/>
        <v>145.5397430730676</v>
      </c>
      <c r="P19" s="1">
        <f t="shared" si="4"/>
        <v>138.22379823791795</v>
      </c>
      <c r="Q19" s="1">
        <f t="shared" si="4"/>
        <v>131.28758171184427</v>
      </c>
      <c r="R19" s="1">
        <f t="shared" si="4"/>
        <v>124.75323665228228</v>
      </c>
      <c r="S19" s="1">
        <f t="shared" si="4"/>
        <v>118.63838381648574</v>
      </c>
      <c r="T19" s="1">
        <f t="shared" si="4"/>
        <v>112.95595049530705</v>
      </c>
      <c r="U19" s="1">
        <f t="shared" si="4"/>
        <v>107.7140551121729</v>
      </c>
      <c r="V19" s="1">
        <f t="shared" si="4"/>
        <v>102.91594759540511</v>
      </c>
      <c r="W19" s="1">
        <f t="shared" si="4"/>
        <v>98.560004889864288</v>
      </c>
      <c r="X19" s="1">
        <f t="shared" si="4"/>
        <v>94.639780294256866</v>
      </c>
      <c r="Y19" s="1">
        <f t="shared" si="4"/>
        <v>91.144104704952539</v>
      </c>
      <c r="Z19" s="1">
        <f t="shared" si="4"/>
        <v>88.057237322888795</v>
      </c>
      <c r="AA19" s="1">
        <f t="shared" si="4"/>
        <v>85.359062940586227</v>
      </c>
      <c r="AB19" s="1">
        <f t="shared" si="4"/>
        <v>83.025332571516245</v>
      </c>
      <c r="AC19" s="1">
        <f t="shared" si="4"/>
        <v>81.027943910928641</v>
      </c>
      <c r="AD19" s="1">
        <f t="shared" si="4"/>
        <v>79.33525791979767</v>
      </c>
      <c r="AE19" s="1">
        <f t="shared" si="4"/>
        <v>77.912447693469161</v>
      </c>
      <c r="AF19" s="1">
        <f t="shared" si="4"/>
        <v>76.72187570376299</v>
      </c>
      <c r="AG19" s="1">
        <f t="shared" si="4"/>
        <v>75.723495476391236</v>
      </c>
      <c r="AH19" s="1">
        <f t="shared" si="4"/>
        <v>74.875273772711878</v>
      </c>
      <c r="AI19" s="1">
        <f t="shared" si="4"/>
        <v>74.133629374256614</v>
      </c>
    </row>
    <row r="20" spans="2:35" x14ac:dyDescent="0.25">
      <c r="E20" s="14" t="s">
        <v>17</v>
      </c>
      <c r="F20" s="18">
        <f>-(($C$7*$C$8)/$C$4)*F13</f>
        <v>-2483999999.9999995</v>
      </c>
      <c r="G20" s="18">
        <f t="shared" ref="G20:AI20" si="5">-(($C$7*$C$8)/$C$4)*G13</f>
        <v>-2380530373.072392</v>
      </c>
      <c r="H20" s="18">
        <f t="shared" si="5"/>
        <v>-2277597836.8317475</v>
      </c>
      <c r="I20" s="18">
        <f t="shared" si="5"/>
        <v>-2175733236.1855745</v>
      </c>
      <c r="J20" s="18">
        <f t="shared" si="5"/>
        <v>-2075455008.824259</v>
      </c>
      <c r="K20" s="18">
        <f t="shared" si="5"/>
        <v>-1977263190.8356223</v>
      </c>
      <c r="L20" s="18">
        <f t="shared" si="5"/>
        <v>-1881633668.8694246</v>
      </c>
      <c r="M20" s="18">
        <f t="shared" si="5"/>
        <v>-1789012753.6532083</v>
      </c>
      <c r="N20" s="18">
        <f t="shared" si="5"/>
        <v>-1699812143.622705</v>
      </c>
      <c r="O20" s="18">
        <f t="shared" si="5"/>
        <v>-1614404340.2297122</v>
      </c>
      <c r="P20" s="18">
        <f t="shared" si="5"/>
        <v>-1533118568.3384199</v>
      </c>
      <c r="Q20" s="18">
        <f t="shared" si="5"/>
        <v>-1456237246.2505281</v>
      </c>
      <c r="R20" s="18">
        <f t="shared" si="5"/>
        <v>-1383993040.556221</v>
      </c>
      <c r="S20" s="18">
        <f t="shared" si="5"/>
        <v>-1316566531.4418192</v>
      </c>
      <c r="T20" s="18">
        <f t="shared" si="5"/>
        <v>-1254084504.5398331</v>
      </c>
      <c r="U20" s="18">
        <f t="shared" si="5"/>
        <v>-1196618876.1125488</v>
      </c>
      <c r="V20" s="18">
        <f t="shared" si="5"/>
        <v>-1144186249.5231161</v>
      </c>
      <c r="W20" s="18">
        <f t="shared" si="5"/>
        <v>-1096748092.745914</v>
      </c>
      <c r="X20" s="18">
        <f t="shared" si="5"/>
        <v>-1054211519.2437967</v>
      </c>
      <c r="Y20" s="18">
        <f t="shared" si="5"/>
        <v>-1016430647.9985145</v>
      </c>
      <c r="Z20" s="18">
        <f t="shared" si="5"/>
        <v>-983208512.88702595</v>
      </c>
      <c r="AA20" s="18">
        <f t="shared" si="5"/>
        <v>-954299486.97549331</v>
      </c>
      <c r="AB20" s="18">
        <f t="shared" si="5"/>
        <v>-929412183.64088833</v>
      </c>
      <c r="AC20" s="18">
        <f t="shared" si="5"/>
        <v>-908212793.67880988</v>
      </c>
      <c r="AD20" s="18">
        <f t="shared" si="5"/>
        <v>-890328815.63617671</v>
      </c>
      <c r="AE20" s="18">
        <f t="shared" si="5"/>
        <v>-875353135.41512656</v>
      </c>
      <c r="AF20" s="18">
        <f t="shared" si="5"/>
        <v>-862848410.607728</v>
      </c>
      <c r="AG20" s="18">
        <f t="shared" si="5"/>
        <v>-852351714.9070822</v>
      </c>
      <c r="AH20" s="18">
        <f t="shared" si="5"/>
        <v>-843379398.16235518</v>
      </c>
      <c r="AI20" s="18">
        <f t="shared" si="5"/>
        <v>-835432118.07018626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C0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Администратор</cp:lastModifiedBy>
  <dcterms:created xsi:type="dcterms:W3CDTF">2021-10-25T14:56:28Z</dcterms:created>
  <dcterms:modified xsi:type="dcterms:W3CDTF">2021-10-25T15:39:13Z</dcterms:modified>
</cp:coreProperties>
</file>