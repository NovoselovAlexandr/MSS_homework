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15345" windowHeight="4650"/>
  </bookViews>
  <sheets>
    <sheet name="Потенциальное течение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4" i="1" l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X24" i="1"/>
  <c r="X23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AL20" i="1"/>
  <c r="AL22" i="1" s="1"/>
  <c r="AK20" i="1"/>
  <c r="AK22" i="1" s="1"/>
  <c r="AJ20" i="1"/>
  <c r="AJ22" i="1" s="1"/>
  <c r="AI20" i="1"/>
  <c r="AI22" i="1" s="1"/>
  <c r="AH20" i="1"/>
  <c r="AH22" i="1" s="1"/>
  <c r="AG20" i="1"/>
  <c r="AG22" i="1" s="1"/>
  <c r="AF20" i="1"/>
  <c r="AF22" i="1" s="1"/>
  <c r="AE20" i="1"/>
  <c r="AE22" i="1" s="1"/>
  <c r="AD20" i="1"/>
  <c r="AD22" i="1" s="1"/>
  <c r="AC20" i="1"/>
  <c r="AC22" i="1" s="1"/>
  <c r="AB20" i="1"/>
  <c r="AB22" i="1" s="1"/>
  <c r="AA20" i="1"/>
  <c r="AA22" i="1" s="1"/>
  <c r="Z20" i="1"/>
  <c r="Z22" i="1" s="1"/>
  <c r="Y20" i="1"/>
  <c r="Y22" i="1" s="1"/>
  <c r="X20" i="1"/>
  <c r="X22" i="1" s="1"/>
  <c r="Y18" i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AJ18" i="1" s="1"/>
  <c r="AK18" i="1" s="1"/>
  <c r="AL18" i="1" s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Z12" i="1"/>
  <c r="AA12" i="1"/>
  <c r="AB12" i="1" s="1"/>
  <c r="Y12" i="1"/>
  <c r="Y13" i="1" s="1"/>
  <c r="Z13" i="1"/>
  <c r="AA13" i="1"/>
  <c r="X13" i="1"/>
  <c r="B6" i="1"/>
  <c r="G6" i="1"/>
  <c r="H9" i="1"/>
  <c r="Y23" i="1" l="1"/>
  <c r="AB13" i="1"/>
  <c r="AC12" i="1"/>
  <c r="Z23" i="1" l="1"/>
  <c r="AD12" i="1"/>
  <c r="AC13" i="1"/>
  <c r="AA23" i="1" l="1"/>
  <c r="AD13" i="1"/>
  <c r="AE12" i="1"/>
  <c r="AB23" i="1" l="1"/>
  <c r="AF12" i="1"/>
  <c r="AE13" i="1"/>
  <c r="AC23" i="1" l="1"/>
  <c r="AF13" i="1"/>
  <c r="AG12" i="1"/>
  <c r="AD23" i="1" l="1"/>
  <c r="AH12" i="1"/>
  <c r="AG13" i="1"/>
  <c r="AE23" i="1" l="1"/>
  <c r="AH13" i="1"/>
  <c r="AI12" i="1"/>
  <c r="AF23" i="1" l="1"/>
  <c r="AJ12" i="1"/>
  <c r="AI13" i="1"/>
  <c r="AG23" i="1" l="1"/>
  <c r="AJ13" i="1"/>
  <c r="AK12" i="1"/>
  <c r="AH23" i="1" l="1"/>
  <c r="AL12" i="1"/>
  <c r="AL13" i="1" s="1"/>
  <c r="AK13" i="1"/>
  <c r="AI23" i="1" l="1"/>
  <c r="AJ23" i="1" l="1"/>
  <c r="AK23" i="1" l="1"/>
  <c r="AL23" i="1" l="1"/>
  <c r="X12" i="1" l="1"/>
  <c r="AL10" i="1"/>
  <c r="AK10" i="1"/>
  <c r="AJ10" i="1"/>
  <c r="AI10" i="1"/>
  <c r="AH10" i="1"/>
  <c r="AG10" i="1"/>
  <c r="AA10" i="1"/>
  <c r="Z10" i="1"/>
  <c r="Y10" i="1"/>
  <c r="X10" i="1"/>
  <c r="X9" i="1"/>
  <c r="X11" i="1" s="1"/>
  <c r="Y7" i="1"/>
  <c r="Z7" i="1" s="1"/>
  <c r="AA7" i="1" s="1"/>
  <c r="AB7" i="1" s="1"/>
  <c r="AC7" i="1" s="1"/>
  <c r="AD7" i="1" s="1"/>
  <c r="AE7" i="1" s="1"/>
  <c r="AF7" i="1" s="1"/>
  <c r="AG7" i="1" s="1"/>
  <c r="AH7" i="1" s="1"/>
  <c r="AI7" i="1" s="1"/>
  <c r="AJ7" i="1" s="1"/>
  <c r="AK7" i="1" s="1"/>
  <c r="AL7" i="1" s="1"/>
  <c r="T54" i="1"/>
  <c r="S54" i="1"/>
  <c r="R54" i="1"/>
  <c r="Q54" i="1"/>
  <c r="P54" i="1"/>
  <c r="O54" i="1"/>
  <c r="I49" i="1"/>
  <c r="H49" i="1"/>
  <c r="G49" i="1"/>
  <c r="F49" i="1"/>
  <c r="G16" i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S14" i="1"/>
  <c r="R14" i="1"/>
  <c r="R41" i="1" s="1"/>
  <c r="R67" i="1" s="1"/>
  <c r="Q14" i="1"/>
  <c r="Q41" i="1" s="1"/>
  <c r="AI9" i="1" s="1"/>
  <c r="AI11" i="1" s="1"/>
  <c r="P14" i="1"/>
  <c r="O53" i="1" s="1"/>
  <c r="O14" i="1"/>
  <c r="E14" i="1"/>
  <c r="S13" i="1"/>
  <c r="R13" i="1"/>
  <c r="Q13" i="1"/>
  <c r="P13" i="1"/>
  <c r="O13" i="1"/>
  <c r="N13" i="1"/>
  <c r="M52" i="1" s="1"/>
  <c r="AE10" i="1" s="1"/>
  <c r="E13" i="1"/>
  <c r="E12" i="1" s="1"/>
  <c r="E11" i="1" s="1"/>
  <c r="E10" i="1" s="1"/>
  <c r="E9" i="1" s="1"/>
  <c r="S12" i="1"/>
  <c r="R12" i="1"/>
  <c r="Q12" i="1"/>
  <c r="P12" i="1"/>
  <c r="O12" i="1"/>
  <c r="N12" i="1"/>
  <c r="M12" i="1"/>
  <c r="L51" i="1" s="1"/>
  <c r="AD10" i="1" s="1"/>
  <c r="S11" i="1"/>
  <c r="R11" i="1"/>
  <c r="Q11" i="1"/>
  <c r="P11" i="1"/>
  <c r="O11" i="1"/>
  <c r="N11" i="1"/>
  <c r="M11" i="1"/>
  <c r="L50" i="1" s="1"/>
  <c r="L11" i="1"/>
  <c r="K50" i="1" s="1"/>
  <c r="AC10" i="1" s="1"/>
  <c r="S10" i="1"/>
  <c r="R10" i="1"/>
  <c r="Q10" i="1"/>
  <c r="P10" i="1"/>
  <c r="O10" i="1"/>
  <c r="N10" i="1"/>
  <c r="M10" i="1"/>
  <c r="L10" i="1"/>
  <c r="K49" i="1" s="1"/>
  <c r="K10" i="1"/>
  <c r="J49" i="1" s="1"/>
  <c r="AB10" i="1" s="1"/>
  <c r="S9" i="1"/>
  <c r="R9" i="1"/>
  <c r="Q9" i="1"/>
  <c r="P9" i="1"/>
  <c r="O9" i="1"/>
  <c r="N9" i="1"/>
  <c r="M9" i="1"/>
  <c r="L9" i="1"/>
  <c r="K9" i="1"/>
  <c r="J9" i="1"/>
  <c r="I9" i="1"/>
  <c r="G9" i="1"/>
  <c r="F9" i="1"/>
  <c r="F36" i="1" s="1"/>
  <c r="F62" i="1" s="1"/>
  <c r="S8" i="1"/>
  <c r="R8" i="1"/>
  <c r="Q8" i="1"/>
  <c r="P8" i="1"/>
  <c r="O8" i="1"/>
  <c r="N8" i="1"/>
  <c r="M8" i="1"/>
  <c r="L8" i="1"/>
  <c r="K8" i="1"/>
  <c r="J8" i="1"/>
  <c r="I8" i="1"/>
  <c r="H8" i="1"/>
  <c r="G8" i="1"/>
  <c r="S7" i="1"/>
  <c r="R7" i="1"/>
  <c r="Q7" i="1"/>
  <c r="P7" i="1"/>
  <c r="O7" i="1"/>
  <c r="N7" i="1"/>
  <c r="M7" i="1"/>
  <c r="L7" i="1"/>
  <c r="K7" i="1"/>
  <c r="J7" i="1"/>
  <c r="I7" i="1"/>
  <c r="H7" i="1"/>
  <c r="G7" i="1"/>
  <c r="S6" i="1"/>
  <c r="R6" i="1"/>
  <c r="Q6" i="1"/>
  <c r="P6" i="1"/>
  <c r="O6" i="1"/>
  <c r="N6" i="1"/>
  <c r="M6" i="1"/>
  <c r="L6" i="1"/>
  <c r="K6" i="1"/>
  <c r="J6" i="1"/>
  <c r="I6" i="1"/>
  <c r="H6" i="1"/>
  <c r="T5" i="1"/>
  <c r="S5" i="1"/>
  <c r="R44" i="1" s="1"/>
  <c r="R5" i="1"/>
  <c r="Q5" i="1"/>
  <c r="P44" i="1" s="1"/>
  <c r="P5" i="1"/>
  <c r="O5" i="1"/>
  <c r="N44" i="1" s="1"/>
  <c r="N5" i="1"/>
  <c r="M5" i="1"/>
  <c r="L44" i="1" s="1"/>
  <c r="L5" i="1"/>
  <c r="K5" i="1"/>
  <c r="J44" i="1" s="1"/>
  <c r="J5" i="1"/>
  <c r="I5" i="1"/>
  <c r="H44" i="1" s="1"/>
  <c r="H5" i="1"/>
  <c r="G5" i="1"/>
  <c r="F5" i="1"/>
  <c r="AJ9" i="1" l="1"/>
  <c r="AJ11" i="1" s="1"/>
  <c r="T14" i="1"/>
  <c r="E8" i="1"/>
  <c r="E7" i="1" s="1"/>
  <c r="E6" i="1" s="1"/>
  <c r="E5" i="1" s="1"/>
  <c r="G44" i="1"/>
  <c r="I44" i="1"/>
  <c r="K44" i="1"/>
  <c r="M44" i="1"/>
  <c r="O44" i="1"/>
  <c r="Q44" i="1"/>
  <c r="S44" i="1"/>
  <c r="F8" i="1"/>
  <c r="Q67" i="1"/>
  <c r="G47" i="1"/>
  <c r="G48" i="1"/>
  <c r="F44" i="1"/>
  <c r="T44" i="1"/>
  <c r="F47" i="1"/>
  <c r="F48" i="1"/>
  <c r="P37" i="1"/>
  <c r="R37" i="1"/>
  <c r="O52" i="1"/>
  <c r="M37" i="1"/>
  <c r="J45" i="1"/>
  <c r="L45" i="1"/>
  <c r="N45" i="1"/>
  <c r="P45" i="1"/>
  <c r="R45" i="1"/>
  <c r="J47" i="1"/>
  <c r="L47" i="1"/>
  <c r="N47" i="1"/>
  <c r="P47" i="1"/>
  <c r="M49" i="1"/>
  <c r="I46" i="1"/>
  <c r="K46" i="1"/>
  <c r="M46" i="1"/>
  <c r="O46" i="1"/>
  <c r="I48" i="1"/>
  <c r="K48" i="1"/>
  <c r="M48" i="1"/>
  <c r="O48" i="1"/>
  <c r="Q48" i="1"/>
  <c r="N49" i="1"/>
  <c r="P50" i="1"/>
  <c r="H47" i="1"/>
  <c r="H45" i="1"/>
  <c r="H46" i="1"/>
  <c r="L46" i="1"/>
  <c r="P46" i="1"/>
  <c r="H48" i="1"/>
  <c r="L48" i="1"/>
  <c r="P48" i="1"/>
  <c r="P51" i="1"/>
  <c r="I45" i="1"/>
  <c r="K45" i="1"/>
  <c r="M45" i="1"/>
  <c r="O45" i="1"/>
  <c r="Q45" i="1"/>
  <c r="I47" i="1"/>
  <c r="K47" i="1"/>
  <c r="M47" i="1"/>
  <c r="O47" i="1"/>
  <c r="Q47" i="1"/>
  <c r="P49" i="1"/>
  <c r="N50" i="1"/>
  <c r="R50" i="1"/>
  <c r="M51" i="1"/>
  <c r="N39" i="1"/>
  <c r="P39" i="1"/>
  <c r="Q51" i="1"/>
  <c r="R39" i="1"/>
  <c r="Q52" i="1"/>
  <c r="N53" i="1"/>
  <c r="AF10" i="1" s="1"/>
  <c r="O41" i="1"/>
  <c r="R53" i="1"/>
  <c r="S41" i="1"/>
  <c r="G31" i="1"/>
  <c r="G57" i="1" s="1"/>
  <c r="I31" i="1"/>
  <c r="I57" i="1" s="1"/>
  <c r="K31" i="1"/>
  <c r="K57" i="1" s="1"/>
  <c r="M31" i="1"/>
  <c r="M57" i="1" s="1"/>
  <c r="O31" i="1"/>
  <c r="O57" i="1" s="1"/>
  <c r="Q31" i="1"/>
  <c r="Q57" i="1" s="1"/>
  <c r="S31" i="1"/>
  <c r="S57" i="1" s="1"/>
  <c r="H32" i="1"/>
  <c r="H58" i="1" s="1"/>
  <c r="J32" i="1"/>
  <c r="L32" i="1"/>
  <c r="N32" i="1"/>
  <c r="P32" i="1"/>
  <c r="R32" i="1"/>
  <c r="G33" i="1"/>
  <c r="I33" i="1"/>
  <c r="K33" i="1"/>
  <c r="M33" i="1"/>
  <c r="O33" i="1"/>
  <c r="Q33" i="1"/>
  <c r="S33" i="1"/>
  <c r="H34" i="1"/>
  <c r="J34" i="1"/>
  <c r="L34" i="1"/>
  <c r="N34" i="1"/>
  <c r="P34" i="1"/>
  <c r="R34" i="1"/>
  <c r="G35" i="1"/>
  <c r="G61" i="1" s="1"/>
  <c r="I35" i="1"/>
  <c r="K35" i="1"/>
  <c r="K61" i="1" s="1"/>
  <c r="M35" i="1"/>
  <c r="M61" i="1" s="1"/>
  <c r="O35" i="1"/>
  <c r="O61" i="1" s="1"/>
  <c r="Q35" i="1"/>
  <c r="Q61" i="1" s="1"/>
  <c r="S35" i="1"/>
  <c r="H36" i="1"/>
  <c r="J36" i="1"/>
  <c r="L36" i="1"/>
  <c r="N36" i="1"/>
  <c r="N62" i="1" s="1"/>
  <c r="P36" i="1"/>
  <c r="R36" i="1"/>
  <c r="L37" i="1"/>
  <c r="L63" i="1" s="1"/>
  <c r="N37" i="1"/>
  <c r="N63" i="1" s="1"/>
  <c r="M38" i="1"/>
  <c r="O38" i="1"/>
  <c r="Q38" i="1"/>
  <c r="Q64" i="1" s="1"/>
  <c r="S38" i="1"/>
  <c r="M39" i="1"/>
  <c r="Q39" i="1"/>
  <c r="P40" i="1"/>
  <c r="Q46" i="1"/>
  <c r="R47" i="1"/>
  <c r="L49" i="1"/>
  <c r="R49" i="1"/>
  <c r="O51" i="1"/>
  <c r="P53" i="1"/>
  <c r="J46" i="1"/>
  <c r="N46" i="1"/>
  <c r="R46" i="1"/>
  <c r="J48" i="1"/>
  <c r="N48" i="1"/>
  <c r="R48" i="1"/>
  <c r="O49" i="1"/>
  <c r="Q49" i="1"/>
  <c r="M50" i="1"/>
  <c r="M63" i="1" s="1"/>
  <c r="O50" i="1"/>
  <c r="Q50" i="1"/>
  <c r="N51" i="1"/>
  <c r="R51" i="1"/>
  <c r="N52" i="1"/>
  <c r="O40" i="1"/>
  <c r="O66" i="1" s="1"/>
  <c r="P52" i="1"/>
  <c r="Q40" i="1"/>
  <c r="R52" i="1"/>
  <c r="S40" i="1"/>
  <c r="Q53" i="1"/>
  <c r="H31" i="1"/>
  <c r="H57" i="1" s="1"/>
  <c r="J31" i="1"/>
  <c r="J57" i="1" s="1"/>
  <c r="L31" i="1"/>
  <c r="L57" i="1" s="1"/>
  <c r="N31" i="1"/>
  <c r="N57" i="1" s="1"/>
  <c r="P31" i="1"/>
  <c r="P57" i="1" s="1"/>
  <c r="R31" i="1"/>
  <c r="R57" i="1" s="1"/>
  <c r="G32" i="1"/>
  <c r="I32" i="1"/>
  <c r="I58" i="1" s="1"/>
  <c r="K32" i="1"/>
  <c r="M32" i="1"/>
  <c r="M58" i="1" s="1"/>
  <c r="O32" i="1"/>
  <c r="Q32" i="1"/>
  <c r="Q58" i="1" s="1"/>
  <c r="S32" i="1"/>
  <c r="H33" i="1"/>
  <c r="J33" i="1"/>
  <c r="J59" i="1" s="1"/>
  <c r="L33" i="1"/>
  <c r="N33" i="1"/>
  <c r="P33" i="1"/>
  <c r="R33" i="1"/>
  <c r="R59" i="1" s="1"/>
  <c r="G34" i="1"/>
  <c r="I34" i="1"/>
  <c r="I60" i="1" s="1"/>
  <c r="K34" i="1"/>
  <c r="M34" i="1"/>
  <c r="M60" i="1" s="1"/>
  <c r="O34" i="1"/>
  <c r="Q34" i="1"/>
  <c r="S34" i="1"/>
  <c r="H35" i="1"/>
  <c r="J35" i="1"/>
  <c r="L35" i="1"/>
  <c r="L61" i="1" s="1"/>
  <c r="N35" i="1"/>
  <c r="P35" i="1"/>
  <c r="R35" i="1"/>
  <c r="G36" i="1"/>
  <c r="I36" i="1"/>
  <c r="K36" i="1"/>
  <c r="K62" i="1" s="1"/>
  <c r="M36" i="1"/>
  <c r="O36" i="1"/>
  <c r="Q36" i="1"/>
  <c r="S36" i="1"/>
  <c r="K37" i="1"/>
  <c r="O37" i="1"/>
  <c r="Q37" i="1"/>
  <c r="S37" i="1"/>
  <c r="L38" i="1"/>
  <c r="N38" i="1"/>
  <c r="P38" i="1"/>
  <c r="R38" i="1"/>
  <c r="O39" i="1"/>
  <c r="S39" i="1"/>
  <c r="N40" i="1"/>
  <c r="AF9" i="1" s="1"/>
  <c r="R40" i="1"/>
  <c r="R66" i="1" s="1"/>
  <c r="P41" i="1"/>
  <c r="AF11" i="1" l="1"/>
  <c r="M62" i="1"/>
  <c r="N61" i="1"/>
  <c r="N60" i="1"/>
  <c r="J60" i="1"/>
  <c r="O59" i="1"/>
  <c r="K59" i="1"/>
  <c r="P58" i="1"/>
  <c r="L58" i="1"/>
  <c r="R63" i="1"/>
  <c r="I61" i="1"/>
  <c r="P67" i="1"/>
  <c r="AH9" i="1"/>
  <c r="AH11" i="1" s="1"/>
  <c r="L64" i="1"/>
  <c r="AD9" i="1"/>
  <c r="AD11" i="1" s="1"/>
  <c r="K63" i="1"/>
  <c r="AC9" i="1"/>
  <c r="AC11" i="1" s="1"/>
  <c r="I62" i="1"/>
  <c r="AA9" i="1"/>
  <c r="AA11" i="1" s="1"/>
  <c r="M65" i="1"/>
  <c r="AE9" i="1"/>
  <c r="AE11" i="1" s="1"/>
  <c r="H62" i="1"/>
  <c r="Z9" i="1"/>
  <c r="Z11" i="1" s="1"/>
  <c r="S67" i="1"/>
  <c r="AK9" i="1"/>
  <c r="AK11" i="1" s="1"/>
  <c r="O67" i="1"/>
  <c r="AG9" i="1"/>
  <c r="AG11" i="1" s="1"/>
  <c r="P63" i="1"/>
  <c r="G62" i="1"/>
  <c r="Y9" i="1"/>
  <c r="Y11" i="1" s="1"/>
  <c r="P61" i="1"/>
  <c r="N59" i="1"/>
  <c r="J62" i="1"/>
  <c r="AB9" i="1"/>
  <c r="AB11" i="1" s="1"/>
  <c r="F35" i="1"/>
  <c r="F7" i="1"/>
  <c r="T41" i="1"/>
  <c r="T13" i="1"/>
  <c r="T53" i="1"/>
  <c r="Q62" i="1"/>
  <c r="R61" i="1"/>
  <c r="O60" i="1"/>
  <c r="K60" i="1"/>
  <c r="G60" i="1"/>
  <c r="L59" i="1"/>
  <c r="S53" i="1"/>
  <c r="S66" i="1" s="1"/>
  <c r="M59" i="1"/>
  <c r="I59" i="1"/>
  <c r="R58" i="1"/>
  <c r="N58" i="1"/>
  <c r="J58" i="1"/>
  <c r="F61" i="1"/>
  <c r="N66" i="1"/>
  <c r="O65" i="1"/>
  <c r="Q66" i="1"/>
  <c r="Q65" i="1"/>
  <c r="P64" i="1"/>
  <c r="Q63" i="1"/>
  <c r="M64" i="1"/>
  <c r="R64" i="1"/>
  <c r="N64" i="1"/>
  <c r="P62" i="1"/>
  <c r="O63" i="1"/>
  <c r="O62" i="1"/>
  <c r="J61" i="1"/>
  <c r="Q60" i="1"/>
  <c r="P59" i="1"/>
  <c r="H59" i="1"/>
  <c r="O58" i="1"/>
  <c r="K58" i="1"/>
  <c r="P60" i="1"/>
  <c r="L60" i="1"/>
  <c r="H60" i="1"/>
  <c r="H61" i="1"/>
  <c r="O64" i="1"/>
  <c r="L62" i="1"/>
  <c r="R60" i="1"/>
  <c r="Q59" i="1"/>
  <c r="N65" i="1"/>
  <c r="P66" i="1"/>
  <c r="R62" i="1"/>
  <c r="R65" i="1"/>
  <c r="P65" i="1"/>
  <c r="T67" i="1" l="1"/>
  <c r="AL9" i="1"/>
  <c r="AL11" i="1" s="1"/>
  <c r="T66" i="1"/>
  <c r="T40" i="1"/>
  <c r="T12" i="1"/>
  <c r="T52" i="1"/>
  <c r="S52" i="1"/>
  <c r="S65" i="1" s="1"/>
  <c r="F34" i="1"/>
  <c r="F60" i="1" s="1"/>
  <c r="F6" i="1"/>
  <c r="G46" i="1"/>
  <c r="G59" i="1" s="1"/>
  <c r="F46" i="1"/>
  <c r="F32" i="1"/>
  <c r="F33" i="1" l="1"/>
  <c r="F59" i="1" s="1"/>
  <c r="F31" i="1"/>
  <c r="F57" i="1" s="1"/>
  <c r="G45" i="1"/>
  <c r="G58" i="1" s="1"/>
  <c r="F45" i="1"/>
  <c r="F58" i="1" s="1"/>
  <c r="T39" i="1"/>
  <c r="T65" i="1" s="1"/>
  <c r="S51" i="1"/>
  <c r="S64" i="1" s="1"/>
  <c r="T11" i="1"/>
  <c r="T51" i="1"/>
  <c r="S50" i="1" l="1"/>
  <c r="S63" i="1" s="1"/>
  <c r="T50" i="1"/>
  <c r="T10" i="1"/>
  <c r="T38" i="1"/>
  <c r="T64" i="1" s="1"/>
  <c r="T9" i="1" l="1"/>
  <c r="S49" i="1"/>
  <c r="S62" i="1" s="1"/>
  <c r="T37" i="1"/>
  <c r="T63" i="1" s="1"/>
  <c r="T49" i="1"/>
  <c r="T8" i="1" l="1"/>
  <c r="S48" i="1"/>
  <c r="S61" i="1" s="1"/>
  <c r="T36" i="1"/>
  <c r="T62" i="1" s="1"/>
  <c r="T48" i="1"/>
  <c r="T7" i="1" l="1"/>
  <c r="T6" i="1" s="1"/>
  <c r="S47" i="1"/>
  <c r="S60" i="1" s="1"/>
  <c r="T35" i="1"/>
  <c r="T61" i="1" s="1"/>
  <c r="T47" i="1"/>
  <c r="T46" i="1" l="1"/>
  <c r="T34" i="1"/>
  <c r="T60" i="1" s="1"/>
  <c r="T32" i="1"/>
  <c r="S46" i="1"/>
  <c r="S59" i="1" s="1"/>
  <c r="T33" i="1" l="1"/>
  <c r="T59" i="1" s="1"/>
  <c r="T31" i="1"/>
  <c r="T57" i="1" s="1"/>
  <c r="T45" i="1"/>
  <c r="T58" i="1" s="1"/>
  <c r="S45" i="1"/>
  <c r="S58" i="1" s="1"/>
</calcChain>
</file>

<file path=xl/sharedStrings.xml><?xml version="1.0" encoding="utf-8"?>
<sst xmlns="http://schemas.openxmlformats.org/spreadsheetml/2006/main" count="33" uniqueCount="21">
  <si>
    <t>dx=dy</t>
  </si>
  <si>
    <t>V_in</t>
  </si>
  <si>
    <t>p_in</t>
  </si>
  <si>
    <t>V_out</t>
  </si>
  <si>
    <t>n_iter</t>
  </si>
  <si>
    <t>N_L</t>
  </si>
  <si>
    <t>N_H</t>
  </si>
  <si>
    <t>start_Row</t>
  </si>
  <si>
    <t>start_Column</t>
  </si>
  <si>
    <t>ψ</t>
  </si>
  <si>
    <t>x</t>
  </si>
  <si>
    <t>y</t>
  </si>
  <si>
    <t>U</t>
  </si>
  <si>
    <t>V</t>
  </si>
  <si>
    <t>Vel</t>
  </si>
  <si>
    <t>p</t>
  </si>
  <si>
    <t>Cp</t>
  </si>
  <si>
    <t>Magn(Vel)</t>
  </si>
  <si>
    <t>Верхняя стенка</t>
  </si>
  <si>
    <t>Нижняя стенка</t>
  </si>
  <si>
    <t>Я не могу снять джинсы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</si>
</sst>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2" fontId="0" fillId="0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2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 shrinkToFit="1"/>
    </xf>
    <xf numFmtId="0" fontId="0" fillId="0" borderId="0" xfId="0" applyBorder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2" fontId="0" fillId="2" borderId="2" xfId="0" applyNumberFormat="1" applyFill="1" applyBorder="1" applyAlignment="1">
      <alignment horizontal="center" vertical="center"/>
    </xf>
    <xf numFmtId="2" fontId="0" fillId="2" borderId="3" xfId="0" applyNumberForma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3" borderId="2" xfId="0" applyNumberFormat="1" applyFill="1" applyBorder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2" fontId="0" fillId="2" borderId="7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2" fontId="0" fillId="6" borderId="7" xfId="0" applyNumberFormat="1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2" fontId="0" fillId="0" borderId="7" xfId="0" applyNumberFormat="1" applyFill="1" applyBorder="1" applyAlignment="1">
      <alignment horizontal="center" vertical="center"/>
    </xf>
    <xf numFmtId="0" fontId="0" fillId="3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Нижняя граница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'Потенциальное течение'!$F$16:$T$16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'Потенциальное течение'!$X$13:$AL$13</c:f>
              <c:numCache>
                <c:formatCode>0.00</c:formatCode>
                <c:ptCount val="15"/>
                <c:pt idx="0">
                  <c:v>0</c:v>
                </c:pt>
                <c:pt idx="1">
                  <c:v>-3.573707848699996E-2</c:v>
                </c:pt>
                <c:pt idx="2">
                  <c:v>-9.1033932720019944E-2</c:v>
                </c:pt>
                <c:pt idx="3">
                  <c:v>-0.20357090939680347</c:v>
                </c:pt>
                <c:pt idx="4">
                  <c:v>-0.5933464929889305</c:v>
                </c:pt>
                <c:pt idx="5">
                  <c:v>0.30864063364133471</c:v>
                </c:pt>
                <c:pt idx="6">
                  <c:v>0.58970058582082852</c:v>
                </c:pt>
                <c:pt idx="7">
                  <c:v>0.74184417302196382</c:v>
                </c:pt>
                <c:pt idx="8">
                  <c:v>0.8536322763867793</c:v>
                </c:pt>
                <c:pt idx="9">
                  <c:v>0.95233497481531226</c:v>
                </c:pt>
                <c:pt idx="10">
                  <c:v>0.89241445561550792</c:v>
                </c:pt>
                <c:pt idx="11">
                  <c:v>0.84549092751200083</c:v>
                </c:pt>
                <c:pt idx="12">
                  <c:v>0.80891511523717785</c:v>
                </c:pt>
                <c:pt idx="13">
                  <c:v>0.77836961162684015</c:v>
                </c:pt>
                <c:pt idx="14">
                  <c:v>0.75</c:v>
                </c:pt>
              </c:numCache>
            </c:numRef>
          </c:yVal>
          <c:smooth val="1"/>
        </c:ser>
        <c:ser>
          <c:idx val="1"/>
          <c:order val="1"/>
          <c:tx>
            <c:v>Верхняя граница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'Потенциальное течение'!$F$16:$T$16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'Потенциальное течение'!$X$24:$AL$24</c:f>
              <c:numCache>
                <c:formatCode>0.00</c:formatCode>
                <c:ptCount val="15"/>
                <c:pt idx="0">
                  <c:v>0</c:v>
                </c:pt>
                <c:pt idx="1">
                  <c:v>2.814378991664853E-2</c:v>
                </c:pt>
                <c:pt idx="2">
                  <c:v>6.3816182313603351E-2</c:v>
                </c:pt>
                <c:pt idx="3">
                  <c:v>0.11458768882934237</c:v>
                </c:pt>
                <c:pt idx="4">
                  <c:v>0.18568972838867923</c:v>
                </c:pt>
                <c:pt idx="5">
                  <c:v>0.27485146726161475</c:v>
                </c:pt>
                <c:pt idx="6">
                  <c:v>0.36820606183639026</c:v>
                </c:pt>
                <c:pt idx="7">
                  <c:v>0.45398914311896077</c:v>
                </c:pt>
                <c:pt idx="8">
                  <c:v>0.52678677464777135</c:v>
                </c:pt>
                <c:pt idx="9">
                  <c:v>0.58591183465323415</c:v>
                </c:pt>
                <c:pt idx="10">
                  <c:v>0.63302379465225389</c:v>
                </c:pt>
                <c:pt idx="11">
                  <c:v>0.67058625551435402</c:v>
                </c:pt>
                <c:pt idx="12">
                  <c:v>0.70112116351141596</c:v>
                </c:pt>
                <c:pt idx="13">
                  <c:v>0.72692518652824223</c:v>
                </c:pt>
                <c:pt idx="14">
                  <c:v>0.75</c:v>
                </c:pt>
              </c:numCache>
            </c:numRef>
          </c:yVal>
          <c:smooth val="1"/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220901680"/>
        <c:axId val="220902240"/>
      </c:scatterChart>
      <c:valAx>
        <c:axId val="22090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0902240"/>
        <c:crosses val="autoZero"/>
        <c:crossBetween val="midCat"/>
      </c:valAx>
      <c:valAx>
        <c:axId val="22090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090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486147</xdr:colOff>
      <xdr:row>31</xdr:row>
      <xdr:rowOff>2474</xdr:rowOff>
    </xdr:from>
    <xdr:to>
      <xdr:col>31</xdr:col>
      <xdr:colOff>77933</xdr:colOff>
      <xdr:row>54</xdr:row>
      <xdr:rowOff>43295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23</xdr:col>
      <xdr:colOff>623455</xdr:colOff>
      <xdr:row>31</xdr:row>
      <xdr:rowOff>86591</xdr:rowOff>
    </xdr:from>
    <xdr:ext cx="414922" cy="409575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705D4D1B-5789-444E-AA74-C843DE8C2E4B}"/>
                </a:ext>
              </a:extLst>
            </xdr:cNvPr>
            <xdr:cNvSpPr txBox="1"/>
          </xdr:nvSpPr>
          <xdr:spPr>
            <a:xfrm>
              <a:off x="14564591" y="6373091"/>
              <a:ext cx="414922" cy="4095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ru-RU" sz="2000" b="1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ru-RU" sz="20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  <m:sub>
                        <m:r>
                          <a:rPr lang="ru-RU" sz="2000" b="1" i="1">
                            <a:latin typeface="Cambria Math" panose="02040503050406030204" pitchFamily="18" charset="0"/>
                          </a:rPr>
                          <m:t>𝒑</m:t>
                        </m:r>
                      </m:sub>
                    </m:sSub>
                  </m:oMath>
                </m:oMathPara>
              </a14:m>
              <a:endParaRPr lang="ru-RU" sz="2000" b="1" i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705D4D1B-5789-444E-AA74-C843DE8C2E4B}"/>
                </a:ext>
              </a:extLst>
            </xdr:cNvPr>
            <xdr:cNvSpPr txBox="1"/>
          </xdr:nvSpPr>
          <xdr:spPr>
            <a:xfrm>
              <a:off x="14564591" y="6373091"/>
              <a:ext cx="414922" cy="409575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ru-RU" sz="2000" b="1" i="0">
                  <a:latin typeface="Cambria Math" panose="02040503050406030204" pitchFamily="18" charset="0"/>
                </a:rPr>
                <a:t>𝑪</a:t>
              </a:r>
              <a:r>
                <a:rPr lang="ru-RU" sz="2000" b="1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ru-RU" sz="2000" b="1" i="0">
                  <a:latin typeface="Cambria Math" panose="02040503050406030204" pitchFamily="18" charset="0"/>
                </a:rPr>
                <a:t>𝒑</a:t>
              </a:r>
              <a:endParaRPr lang="ru-RU" sz="2000" b="1" i="1"/>
            </a:p>
          </xdr:txBody>
        </xdr:sp>
      </mc:Fallback>
    </mc:AlternateContent>
    <xdr:clientData/>
  </xdr:oneCellAnchor>
  <xdr:oneCellAnchor>
    <xdr:from>
      <xdr:col>30</xdr:col>
      <xdr:colOff>536863</xdr:colOff>
      <xdr:row>44</xdr:row>
      <xdr:rowOff>1</xdr:rowOff>
    </xdr:from>
    <xdr:ext cx="536865" cy="53098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32E01B4C-0897-4CCA-888B-A350C9844A8F}"/>
            </a:ext>
          </a:extLst>
        </xdr:cNvPr>
        <xdr:cNvSpPr txBox="1"/>
      </xdr:nvSpPr>
      <xdr:spPr>
        <a:xfrm>
          <a:off x="21180136" y="8763001"/>
          <a:ext cx="536865" cy="53098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 b="1" i="0">
              <a:latin typeface="+mn-lt"/>
              <a:ea typeface="Cambria Math" panose="02040503050406030204" pitchFamily="18" charset="0"/>
            </a:rPr>
            <a:t>x</a:t>
          </a:r>
        </a:p>
        <a:p>
          <a:endParaRPr lang="ru-RU" sz="2000" b="1" i="0">
            <a:latin typeface="+mn-lt"/>
            <a:ea typeface="Cambria Math" panose="02040503050406030204" pitchFamily="18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L119"/>
  <sheetViews>
    <sheetView tabSelected="1" topLeftCell="A4" zoomScale="55" zoomScaleNormal="55" workbookViewId="0">
      <selection activeCell="V12" sqref="V12"/>
    </sheetView>
  </sheetViews>
  <sheetFormatPr defaultRowHeight="15" x14ac:dyDescent="0.25"/>
  <cols>
    <col min="24" max="24" width="15.7109375" bestFit="1" customWidth="1"/>
    <col min="25" max="25" width="11" customWidth="1"/>
    <col min="26" max="26" width="14.140625" customWidth="1"/>
    <col min="27" max="27" width="12.140625" customWidth="1"/>
    <col min="28" max="38" width="15.7109375" bestFit="1" customWidth="1"/>
  </cols>
  <sheetData>
    <row r="2" spans="1:38" x14ac:dyDescent="0.25">
      <c r="A2" s="2" t="s">
        <v>0</v>
      </c>
      <c r="B2" s="2">
        <v>0.2</v>
      </c>
    </row>
    <row r="3" spans="1:38" x14ac:dyDescent="0.25">
      <c r="A3" s="1"/>
      <c r="B3" s="1"/>
    </row>
    <row r="4" spans="1:38" x14ac:dyDescent="0.25">
      <c r="A4" s="2" t="s">
        <v>1</v>
      </c>
      <c r="B4" s="2">
        <v>10</v>
      </c>
      <c r="D4" s="4"/>
      <c r="E4" s="1"/>
      <c r="F4" s="29">
        <v>1</v>
      </c>
      <c r="G4" s="30">
        <v>2</v>
      </c>
      <c r="H4" s="30">
        <v>3</v>
      </c>
      <c r="I4" s="30">
        <v>4</v>
      </c>
      <c r="J4" s="30">
        <v>5</v>
      </c>
      <c r="K4" s="30">
        <v>6</v>
      </c>
      <c r="L4" s="30">
        <v>7</v>
      </c>
      <c r="M4" s="30">
        <v>8</v>
      </c>
      <c r="N4" s="30">
        <v>9</v>
      </c>
      <c r="O4" s="30">
        <v>10</v>
      </c>
      <c r="P4" s="30">
        <v>11</v>
      </c>
      <c r="Q4" s="30">
        <v>12</v>
      </c>
      <c r="R4" s="30">
        <v>13</v>
      </c>
      <c r="S4" s="30">
        <v>14</v>
      </c>
      <c r="T4" s="31">
        <v>15</v>
      </c>
      <c r="U4" s="1"/>
    </row>
    <row r="5" spans="1:38" ht="30" x14ac:dyDescent="0.25">
      <c r="A5" s="2" t="s">
        <v>2</v>
      </c>
      <c r="B5" s="2">
        <v>101325</v>
      </c>
      <c r="D5" s="40" t="s">
        <v>9</v>
      </c>
      <c r="E5" s="33">
        <f>E6+$B$2</f>
        <v>1.9999999999999998</v>
      </c>
      <c r="F5" s="32">
        <f t="shared" ref="F5:T5" si="0">$B$4</f>
        <v>10</v>
      </c>
      <c r="G5" s="5">
        <f t="shared" si="0"/>
        <v>10</v>
      </c>
      <c r="H5" s="5">
        <f t="shared" si="0"/>
        <v>10</v>
      </c>
      <c r="I5" s="5">
        <f t="shared" si="0"/>
        <v>10</v>
      </c>
      <c r="J5" s="5">
        <f t="shared" si="0"/>
        <v>10</v>
      </c>
      <c r="K5" s="5">
        <f t="shared" si="0"/>
        <v>10</v>
      </c>
      <c r="L5" s="5">
        <f t="shared" si="0"/>
        <v>10</v>
      </c>
      <c r="M5" s="5">
        <f t="shared" si="0"/>
        <v>10</v>
      </c>
      <c r="N5" s="5">
        <f t="shared" si="0"/>
        <v>10</v>
      </c>
      <c r="O5" s="5">
        <f t="shared" si="0"/>
        <v>10</v>
      </c>
      <c r="P5" s="5">
        <f t="shared" si="0"/>
        <v>10</v>
      </c>
      <c r="Q5" s="5">
        <f t="shared" si="0"/>
        <v>10</v>
      </c>
      <c r="R5" s="5">
        <f t="shared" si="0"/>
        <v>10</v>
      </c>
      <c r="S5" s="5">
        <f t="shared" si="0"/>
        <v>10</v>
      </c>
      <c r="T5" s="5">
        <f t="shared" si="0"/>
        <v>10</v>
      </c>
      <c r="U5" s="26">
        <v>11</v>
      </c>
      <c r="W5" s="23" t="s">
        <v>19</v>
      </c>
      <c r="X5" s="2">
        <v>1</v>
      </c>
      <c r="Y5" s="2">
        <v>2</v>
      </c>
      <c r="Z5" s="2">
        <v>3</v>
      </c>
      <c r="AA5" s="2">
        <v>4</v>
      </c>
      <c r="AB5" s="2">
        <v>5</v>
      </c>
      <c r="AC5" s="2">
        <v>6</v>
      </c>
      <c r="AD5" s="2">
        <v>7</v>
      </c>
      <c r="AE5" s="2">
        <v>8</v>
      </c>
      <c r="AF5" s="2">
        <v>9</v>
      </c>
      <c r="AG5" s="2">
        <v>10</v>
      </c>
      <c r="AH5" s="2">
        <v>11</v>
      </c>
      <c r="AI5" s="2">
        <v>12</v>
      </c>
      <c r="AJ5" s="2">
        <v>13</v>
      </c>
      <c r="AK5" s="2">
        <v>14</v>
      </c>
      <c r="AL5" s="2">
        <v>15</v>
      </c>
    </row>
    <row r="6" spans="1:38" x14ac:dyDescent="0.25">
      <c r="A6" s="2" t="s">
        <v>3</v>
      </c>
      <c r="B6" s="2">
        <f>((E5-E10)*B4)/(E5-E15)</f>
        <v>5</v>
      </c>
      <c r="D6" s="4"/>
      <c r="E6" s="34">
        <f t="shared" ref="E6:E13" si="1">E7+$B$2</f>
        <v>1.7999999999999998</v>
      </c>
      <c r="F6" s="32">
        <f t="shared" ref="F6:F9" si="2">F7+$B$4*$B$2</f>
        <v>8</v>
      </c>
      <c r="G6" s="6">
        <f>0.25*(F19+G18+H19+G20)</f>
        <v>8.0283446446366185</v>
      </c>
      <c r="H6" s="6">
        <f t="shared" ref="H6:S6" si="3">0.25*(G19+H18+I19+H20)</f>
        <v>8.0648681515861966</v>
      </c>
      <c r="I6" s="6">
        <f t="shared" si="3"/>
        <v>8.1180729969834662</v>
      </c>
      <c r="J6" s="6">
        <f t="shared" si="3"/>
        <v>8.1952171636329254</v>
      </c>
      <c r="K6" s="6">
        <f t="shared" si="3"/>
        <v>8.2968869294864831</v>
      </c>
      <c r="L6" s="6">
        <f t="shared" si="3"/>
        <v>8.410290670388207</v>
      </c>
      <c r="M6" s="6">
        <f t="shared" si="3"/>
        <v>8.522149050978447</v>
      </c>
      <c r="N6" s="6">
        <f t="shared" si="3"/>
        <v>8.6241900925606156</v>
      </c>
      <c r="O6" s="6">
        <f t="shared" si="3"/>
        <v>8.7130063475733497</v>
      </c>
      <c r="P6" s="6">
        <f t="shared" si="3"/>
        <v>8.7884287798932164</v>
      </c>
      <c r="Q6" s="6">
        <f t="shared" si="3"/>
        <v>8.852108464208337</v>
      </c>
      <c r="R6" s="6">
        <f t="shared" si="3"/>
        <v>8.906603756200564</v>
      </c>
      <c r="S6" s="6">
        <f t="shared" si="3"/>
        <v>8.9548687862825673</v>
      </c>
      <c r="T6" s="5">
        <f>T7+$B$2*$B$6</f>
        <v>9</v>
      </c>
      <c r="U6" s="27">
        <v>10</v>
      </c>
      <c r="W6" s="16" t="s">
        <v>9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  <c r="AI6" s="8">
        <v>0</v>
      </c>
      <c r="AJ6" s="8">
        <v>0</v>
      </c>
      <c r="AK6" s="8">
        <v>0</v>
      </c>
      <c r="AL6" s="8">
        <v>0</v>
      </c>
    </row>
    <row r="7" spans="1:38" x14ac:dyDescent="0.25">
      <c r="A7" s="1"/>
      <c r="B7" s="1"/>
      <c r="D7" s="4"/>
      <c r="E7" s="34">
        <f t="shared" si="1"/>
        <v>1.5999999999999999</v>
      </c>
      <c r="F7" s="32">
        <f t="shared" si="2"/>
        <v>6</v>
      </c>
      <c r="G7" s="6">
        <f t="shared" ref="G7:S14" si="4">0.25*(F20+G19+H20+G21)</f>
        <v>6.0485104289698821</v>
      </c>
      <c r="H7" s="6">
        <f t="shared" si="4"/>
        <v>6.1130549688493172</v>
      </c>
      <c r="I7" s="6">
        <f t="shared" si="4"/>
        <v>6.2122066797623905</v>
      </c>
      <c r="J7" s="6">
        <f t="shared" si="4"/>
        <v>6.3659087381646469</v>
      </c>
      <c r="K7" s="6">
        <f t="shared" si="4"/>
        <v>6.5820398984502706</v>
      </c>
      <c r="L7" s="6">
        <f t="shared" si="4"/>
        <v>6.8221267191715942</v>
      </c>
      <c r="M7" s="6">
        <f t="shared" si="4"/>
        <v>7.0541154634856964</v>
      </c>
      <c r="N7" s="6">
        <f t="shared" si="4"/>
        <v>7.2616049958911679</v>
      </c>
      <c r="O7" s="6">
        <f t="shared" si="4"/>
        <v>7.4394065437434875</v>
      </c>
      <c r="P7" s="6">
        <f t="shared" si="4"/>
        <v>7.5886003314465631</v>
      </c>
      <c r="Q7" s="6">
        <f t="shared" si="4"/>
        <v>7.7134013416527551</v>
      </c>
      <c r="R7" s="6">
        <f t="shared" si="4"/>
        <v>7.8194377890090214</v>
      </c>
      <c r="S7" s="6">
        <f t="shared" si="4"/>
        <v>7.9128713969669349</v>
      </c>
      <c r="T7" s="5">
        <f t="shared" ref="T7:T13" si="5">T8+$B$2*$B$6</f>
        <v>8</v>
      </c>
      <c r="U7" s="27">
        <v>9</v>
      </c>
      <c r="W7" s="17" t="s">
        <v>10</v>
      </c>
      <c r="X7" s="9">
        <v>0</v>
      </c>
      <c r="Y7" s="9">
        <f>X7+$B$2</f>
        <v>0.2</v>
      </c>
      <c r="Z7" s="9">
        <f t="shared" ref="Z7:AL7" si="6">Y7+$B$2</f>
        <v>0.4</v>
      </c>
      <c r="AA7" s="9">
        <f t="shared" si="6"/>
        <v>0.60000000000000009</v>
      </c>
      <c r="AB7" s="9">
        <f t="shared" si="6"/>
        <v>0.8</v>
      </c>
      <c r="AC7" s="9">
        <f t="shared" si="6"/>
        <v>1</v>
      </c>
      <c r="AD7" s="9">
        <f t="shared" si="6"/>
        <v>1.2</v>
      </c>
      <c r="AE7" s="9">
        <f t="shared" si="6"/>
        <v>1.4</v>
      </c>
      <c r="AF7" s="9">
        <f t="shared" si="6"/>
        <v>1.5999999999999999</v>
      </c>
      <c r="AG7" s="9">
        <f t="shared" si="6"/>
        <v>1.7999999999999998</v>
      </c>
      <c r="AH7" s="9">
        <f t="shared" si="6"/>
        <v>1.9999999999999998</v>
      </c>
      <c r="AI7" s="9">
        <f t="shared" si="6"/>
        <v>2.1999999999999997</v>
      </c>
      <c r="AJ7" s="9">
        <f t="shared" si="6"/>
        <v>2.4</v>
      </c>
      <c r="AK7" s="9">
        <f t="shared" si="6"/>
        <v>2.6</v>
      </c>
      <c r="AL7" s="9">
        <f t="shared" si="6"/>
        <v>2.8000000000000003</v>
      </c>
    </row>
    <row r="8" spans="1:38" x14ac:dyDescent="0.25">
      <c r="A8" s="1"/>
      <c r="B8" s="1"/>
      <c r="D8" s="4"/>
      <c r="E8" s="34">
        <f t="shared" si="1"/>
        <v>1.4</v>
      </c>
      <c r="F8" s="32">
        <f t="shared" si="2"/>
        <v>4</v>
      </c>
      <c r="G8" s="6">
        <f t="shared" si="4"/>
        <v>4.0526421055919997</v>
      </c>
      <c r="H8" s="6">
        <f t="shared" si="4"/>
        <v>4.1266346221944961</v>
      </c>
      <c r="I8" s="6">
        <f t="shared" si="4"/>
        <v>4.2517900265063417</v>
      </c>
      <c r="J8" s="6">
        <f t="shared" si="4"/>
        <v>4.4741712288541624</v>
      </c>
      <c r="K8" s="6">
        <f t="shared" si="4"/>
        <v>4.8432372317227745</v>
      </c>
      <c r="L8" s="6">
        <f t="shared" si="4"/>
        <v>5.2420608782236009</v>
      </c>
      <c r="M8" s="6">
        <f t="shared" si="4"/>
        <v>5.6105811276833002</v>
      </c>
      <c r="N8" s="6">
        <f t="shared" si="4"/>
        <v>5.9287079302422629</v>
      </c>
      <c r="O8" s="6">
        <f t="shared" si="4"/>
        <v>6.1944145466012808</v>
      </c>
      <c r="P8" s="6">
        <f t="shared" si="4"/>
        <v>6.4131647064342969</v>
      </c>
      <c r="Q8" s="6">
        <f t="shared" si="4"/>
        <v>6.5934588198020405</v>
      </c>
      <c r="R8" s="6">
        <f t="shared" si="4"/>
        <v>6.7448746898961209</v>
      </c>
      <c r="S8" s="6">
        <f t="shared" si="4"/>
        <v>6.8771790271662674</v>
      </c>
      <c r="T8" s="5">
        <f t="shared" si="5"/>
        <v>7</v>
      </c>
      <c r="U8" s="27">
        <v>8</v>
      </c>
      <c r="W8" s="17" t="s">
        <v>11</v>
      </c>
      <c r="X8" s="9">
        <v>1</v>
      </c>
      <c r="Y8" s="9">
        <v>1</v>
      </c>
      <c r="Z8" s="9">
        <v>1</v>
      </c>
      <c r="AA8" s="9">
        <v>1</v>
      </c>
      <c r="AB8" s="9">
        <v>1</v>
      </c>
      <c r="AC8" s="9">
        <v>0.8</v>
      </c>
      <c r="AD8" s="9">
        <v>0.6</v>
      </c>
      <c r="AE8" s="9">
        <v>0.4</v>
      </c>
      <c r="AF8" s="9">
        <v>0.2</v>
      </c>
      <c r="AG8" s="9">
        <v>0</v>
      </c>
      <c r="AH8" s="9">
        <v>0</v>
      </c>
      <c r="AI8" s="9">
        <v>0</v>
      </c>
      <c r="AJ8" s="9">
        <v>0</v>
      </c>
      <c r="AK8" s="9">
        <v>0</v>
      </c>
      <c r="AL8" s="9">
        <v>0</v>
      </c>
    </row>
    <row r="9" spans="1:38" x14ac:dyDescent="0.25">
      <c r="A9" s="1"/>
      <c r="B9" s="1"/>
      <c r="D9" s="4"/>
      <c r="E9" s="34">
        <f t="shared" si="1"/>
        <v>1.2</v>
      </c>
      <c r="F9" s="32">
        <f t="shared" si="2"/>
        <v>2</v>
      </c>
      <c r="G9" s="6">
        <f t="shared" si="4"/>
        <v>2.0354233746195227</v>
      </c>
      <c r="H9" s="6">
        <f>0.25*(G22+H21+I22+H23)</f>
        <v>2.0890513949828047</v>
      </c>
      <c r="I9" s="6">
        <f t="shared" si="4"/>
        <v>2.1941475879226786</v>
      </c>
      <c r="J9" s="6">
        <f t="shared" si="4"/>
        <v>2.4357489384636093</v>
      </c>
      <c r="K9" s="6">
        <f t="shared" si="4"/>
        <v>3.0746769519598747</v>
      </c>
      <c r="L9" s="6">
        <f t="shared" si="4"/>
        <v>3.6922984750983372</v>
      </c>
      <c r="M9" s="6">
        <f t="shared" si="4"/>
        <v>4.2174402919193676</v>
      </c>
      <c r="N9" s="6">
        <f t="shared" si="4"/>
        <v>4.6482311096005819</v>
      </c>
      <c r="O9" s="6">
        <f t="shared" si="4"/>
        <v>4.9963790701570057</v>
      </c>
      <c r="P9" s="6">
        <f t="shared" si="4"/>
        <v>5.2761851872355647</v>
      </c>
      <c r="Q9" s="6">
        <f t="shared" si="4"/>
        <v>5.50239459412618</v>
      </c>
      <c r="R9" s="6">
        <f t="shared" si="4"/>
        <v>5.6894231609758679</v>
      </c>
      <c r="S9" s="6">
        <f t="shared" si="4"/>
        <v>5.8509700422934783</v>
      </c>
      <c r="T9" s="5">
        <f t="shared" si="5"/>
        <v>6</v>
      </c>
      <c r="U9" s="27">
        <v>7</v>
      </c>
      <c r="W9" s="17" t="s">
        <v>12</v>
      </c>
      <c r="X9" s="9">
        <f>F36</f>
        <v>10</v>
      </c>
      <c r="Y9" s="9">
        <f t="shared" ref="Y9:AB9" si="7">G36</f>
        <v>10.177116873097614</v>
      </c>
      <c r="Z9" s="9">
        <f t="shared" si="7"/>
        <v>10.445256974914022</v>
      </c>
      <c r="AA9" s="9">
        <f t="shared" si="7"/>
        <v>10.970737939613393</v>
      </c>
      <c r="AB9" s="9">
        <f t="shared" si="7"/>
        <v>12.178744692318046</v>
      </c>
      <c r="AC9" s="9">
        <f>K37</f>
        <v>6.6371159454163307</v>
      </c>
      <c r="AD9" s="9">
        <f>L38</f>
        <v>5.0084557064001372</v>
      </c>
      <c r="AE9" s="9">
        <f>M39</f>
        <v>3.9931582556852718</v>
      </c>
      <c r="AF9" s="9">
        <f>N40</f>
        <v>3.1416985601510459</v>
      </c>
      <c r="AG9" s="9">
        <f>O41</f>
        <v>2.1832321265666876</v>
      </c>
      <c r="AH9" s="9">
        <f t="shared" ref="AH9:AL9" si="8">P41</f>
        <v>3.2800235423604844</v>
      </c>
      <c r="AI9" s="9">
        <f t="shared" si="8"/>
        <v>3.9307642067166197</v>
      </c>
      <c r="AJ9" s="9">
        <f t="shared" si="8"/>
        <v>4.3713257115297379</v>
      </c>
      <c r="AK9" s="9">
        <f t="shared" si="8"/>
        <v>4.7077636768750581</v>
      </c>
      <c r="AL9" s="9">
        <f t="shared" si="8"/>
        <v>5</v>
      </c>
    </row>
    <row r="10" spans="1:38" x14ac:dyDescent="0.25">
      <c r="A10" s="2" t="s">
        <v>4</v>
      </c>
      <c r="B10" s="2">
        <v>300</v>
      </c>
      <c r="C10">
        <v>300</v>
      </c>
      <c r="D10" s="4"/>
      <c r="E10" s="34">
        <f t="shared" si="1"/>
        <v>1</v>
      </c>
      <c r="F10" s="32">
        <v>0</v>
      </c>
      <c r="G10" s="5">
        <v>0</v>
      </c>
      <c r="H10" s="5">
        <v>0</v>
      </c>
      <c r="I10" s="5">
        <v>0</v>
      </c>
      <c r="J10" s="5">
        <v>0</v>
      </c>
      <c r="K10" s="6">
        <f t="shared" si="4"/>
        <v>1.3274231890832662</v>
      </c>
      <c r="L10" s="6">
        <f t="shared" si="4"/>
        <v>2.2350158206024502</v>
      </c>
      <c r="M10" s="6">
        <f t="shared" si="4"/>
        <v>2.9186505095593542</v>
      </c>
      <c r="N10" s="6">
        <f t="shared" si="4"/>
        <v>3.4503972128945914</v>
      </c>
      <c r="O10" s="6">
        <f t="shared" si="4"/>
        <v>3.8666855063401755</v>
      </c>
      <c r="P10" s="6">
        <f t="shared" si="4"/>
        <v>4.1928024479233219</v>
      </c>
      <c r="Q10" s="6">
        <f t="shared" si="4"/>
        <v>4.4505112666921081</v>
      </c>
      <c r="R10" s="6">
        <f t="shared" si="4"/>
        <v>4.6594533620403888</v>
      </c>
      <c r="S10" s="6">
        <f t="shared" si="4"/>
        <v>4.8372780037441734</v>
      </c>
      <c r="T10" s="5">
        <f t="shared" si="5"/>
        <v>5</v>
      </c>
      <c r="U10" s="27">
        <v>6</v>
      </c>
      <c r="W10" s="17" t="s">
        <v>13</v>
      </c>
      <c r="X10" s="9">
        <f>F49</f>
        <v>0</v>
      </c>
      <c r="Y10" s="9">
        <f>G49</f>
        <v>0</v>
      </c>
      <c r="Z10" s="9">
        <f>H49</f>
        <v>0</v>
      </c>
      <c r="AA10" s="9">
        <f>I49</f>
        <v>0</v>
      </c>
      <c r="AB10" s="9">
        <f>J49</f>
        <v>-3.3185579727081653</v>
      </c>
      <c r="AC10" s="9">
        <f>K50</f>
        <v>-5.0084557064001372</v>
      </c>
      <c r="AD10" s="9">
        <f>L51</f>
        <v>-3.9931582556852718</v>
      </c>
      <c r="AE10" s="9">
        <f>M52</f>
        <v>-3.1416985601510459</v>
      </c>
      <c r="AF10" s="9">
        <f>N53</f>
        <v>-2.1832321265666876</v>
      </c>
      <c r="AG10" s="9">
        <f>O54</f>
        <v>0</v>
      </c>
      <c r="AH10" s="9">
        <f t="shared" ref="AH10:AL10" si="9">P54</f>
        <v>0</v>
      </c>
      <c r="AI10" s="9">
        <f t="shared" si="9"/>
        <v>0</v>
      </c>
      <c r="AJ10" s="9">
        <f t="shared" si="9"/>
        <v>0</v>
      </c>
      <c r="AK10" s="9">
        <f t="shared" si="9"/>
        <v>0</v>
      </c>
      <c r="AL10" s="9">
        <f t="shared" si="9"/>
        <v>0</v>
      </c>
    </row>
    <row r="11" spans="1:38" x14ac:dyDescent="0.25">
      <c r="A11" s="1"/>
      <c r="B11" s="1"/>
      <c r="D11" s="4"/>
      <c r="E11" s="34">
        <f t="shared" si="1"/>
        <v>0.8</v>
      </c>
      <c r="F11" s="7"/>
      <c r="G11" s="7"/>
      <c r="H11" s="7"/>
      <c r="I11" s="7"/>
      <c r="J11" s="7"/>
      <c r="K11" s="5">
        <v>0</v>
      </c>
      <c r="L11" s="6">
        <f t="shared" si="4"/>
        <v>1.0016911412800276</v>
      </c>
      <c r="M11" s="6">
        <f t="shared" si="4"/>
        <v>1.7717487633342408</v>
      </c>
      <c r="N11" s="6">
        <f t="shared" si="4"/>
        <v>2.3680217873172524</v>
      </c>
      <c r="O11" s="6">
        <f t="shared" si="4"/>
        <v>2.8271633648453327</v>
      </c>
      <c r="P11" s="6">
        <f t="shared" si="4"/>
        <v>3.1778278987093311</v>
      </c>
      <c r="Q11" s="6">
        <f t="shared" si="4"/>
        <v>3.4473947238362554</v>
      </c>
      <c r="R11" s="6">
        <f t="shared" si="4"/>
        <v>3.6606010604537653</v>
      </c>
      <c r="S11" s="6">
        <f t="shared" si="4"/>
        <v>3.8386886347557412</v>
      </c>
      <c r="T11" s="5">
        <f t="shared" si="5"/>
        <v>4</v>
      </c>
      <c r="U11" s="27">
        <v>5</v>
      </c>
      <c r="W11" s="17" t="s">
        <v>14</v>
      </c>
      <c r="X11" s="9">
        <f>(X9^2+X10^2)^0.5</f>
        <v>10</v>
      </c>
      <c r="Y11" s="9">
        <f t="shared" ref="Y11:AL11" si="10">(Y9^2+Y10^2)^0.5</f>
        <v>10.177116873097614</v>
      </c>
      <c r="Z11" s="9">
        <f t="shared" si="10"/>
        <v>10.445256974914022</v>
      </c>
      <c r="AA11" s="9">
        <f t="shared" si="10"/>
        <v>10.970737939613393</v>
      </c>
      <c r="AB11" s="9">
        <f t="shared" si="10"/>
        <v>12.622782945883602</v>
      </c>
      <c r="AC11" s="9">
        <f t="shared" si="10"/>
        <v>8.3148022607799774</v>
      </c>
      <c r="AD11" s="9">
        <f t="shared" si="10"/>
        <v>6.4054618426714196</v>
      </c>
      <c r="AE11" s="9">
        <f t="shared" si="10"/>
        <v>5.0809037284525083</v>
      </c>
      <c r="AF11" s="9">
        <f t="shared" si="10"/>
        <v>3.8258034922520596</v>
      </c>
      <c r="AG11" s="9">
        <f t="shared" si="10"/>
        <v>2.1832321265666876</v>
      </c>
      <c r="AH11" s="9">
        <f t="shared" si="10"/>
        <v>3.2800235423604844</v>
      </c>
      <c r="AI11" s="9">
        <f t="shared" si="10"/>
        <v>3.9307642067166197</v>
      </c>
      <c r="AJ11" s="9">
        <f t="shared" si="10"/>
        <v>4.3713257115297379</v>
      </c>
      <c r="AK11" s="9">
        <f t="shared" si="10"/>
        <v>4.7077636768750581</v>
      </c>
      <c r="AL11" s="9">
        <f t="shared" si="10"/>
        <v>5</v>
      </c>
    </row>
    <row r="12" spans="1:38" x14ac:dyDescent="0.25">
      <c r="A12" s="2" t="s">
        <v>5</v>
      </c>
      <c r="B12" s="2">
        <v>15</v>
      </c>
      <c r="D12" s="4"/>
      <c r="E12" s="34">
        <f t="shared" si="1"/>
        <v>0.60000000000000009</v>
      </c>
      <c r="F12" s="7"/>
      <c r="G12" s="7"/>
      <c r="H12" s="7"/>
      <c r="I12" s="7"/>
      <c r="J12" s="7"/>
      <c r="K12" s="7"/>
      <c r="L12" s="5">
        <v>0</v>
      </c>
      <c r="M12" s="6">
        <f t="shared" si="4"/>
        <v>0.79863165113705437</v>
      </c>
      <c r="N12" s="6">
        <f t="shared" si="4"/>
        <v>1.4227778605340753</v>
      </c>
      <c r="O12" s="6">
        <f t="shared" si="4"/>
        <v>1.8961183260978016</v>
      </c>
      <c r="P12" s="6">
        <f t="shared" si="4"/>
        <v>2.2439511207420249</v>
      </c>
      <c r="Q12" s="6">
        <f t="shared" si="4"/>
        <v>2.5006387231603604</v>
      </c>
      <c r="R12" s="6">
        <f t="shared" si="4"/>
        <v>2.6968675628275713</v>
      </c>
      <c r="S12" s="6">
        <f t="shared" si="4"/>
        <v>2.85687549627611</v>
      </c>
      <c r="T12" s="5">
        <f t="shared" si="5"/>
        <v>3</v>
      </c>
      <c r="U12" s="27">
        <v>4</v>
      </c>
      <c r="W12" s="17" t="s">
        <v>15</v>
      </c>
      <c r="X12" s="15">
        <f>B5</f>
        <v>101325</v>
      </c>
      <c r="Y12" s="15">
        <f>(X12+(X11^2)/2)-(Y11^2)/2</f>
        <v>101323.21314607565</v>
      </c>
      <c r="Z12" s="15">
        <f t="shared" ref="Z12:AL12" si="11">(Y12+(Y11^2)/2)-(Z11^2)/2</f>
        <v>101320.448303364</v>
      </c>
      <c r="AA12" s="15">
        <f t="shared" si="11"/>
        <v>101314.82145453016</v>
      </c>
      <c r="AB12" s="15">
        <f t="shared" si="11"/>
        <v>101295.33267535055</v>
      </c>
      <c r="AC12" s="15">
        <f t="shared" si="11"/>
        <v>101340.43203168207</v>
      </c>
      <c r="AD12" s="15">
        <f t="shared" si="11"/>
        <v>101354.48502929104</v>
      </c>
      <c r="AE12" s="15">
        <f t="shared" si="11"/>
        <v>101362.0922086511</v>
      </c>
      <c r="AF12" s="15">
        <f t="shared" si="11"/>
        <v>101367.68161381934</v>
      </c>
      <c r="AG12" s="15">
        <f t="shared" si="11"/>
        <v>101372.61674874077</v>
      </c>
      <c r="AH12" s="15">
        <f t="shared" si="11"/>
        <v>101369.62072278078</v>
      </c>
      <c r="AI12" s="15">
        <f t="shared" si="11"/>
        <v>101367.2745463756</v>
      </c>
      <c r="AJ12" s="15">
        <f t="shared" si="11"/>
        <v>101365.44575576186</v>
      </c>
      <c r="AK12" s="15">
        <f t="shared" si="11"/>
        <v>101363.91848058134</v>
      </c>
      <c r="AL12" s="15">
        <f t="shared" si="11"/>
        <v>101362.5</v>
      </c>
    </row>
    <row r="13" spans="1:38" x14ac:dyDescent="0.25">
      <c r="A13" s="2" t="s">
        <v>6</v>
      </c>
      <c r="B13" s="2">
        <v>11</v>
      </c>
      <c r="D13" s="4"/>
      <c r="E13" s="34">
        <f t="shared" si="1"/>
        <v>0.4</v>
      </c>
      <c r="F13" s="7"/>
      <c r="G13" s="7"/>
      <c r="H13" s="7"/>
      <c r="I13" s="7"/>
      <c r="J13" s="7"/>
      <c r="K13" s="7"/>
      <c r="L13" s="7"/>
      <c r="M13" s="5">
        <v>0</v>
      </c>
      <c r="N13" s="6">
        <f t="shared" si="4"/>
        <v>0.62833971203020922</v>
      </c>
      <c r="O13" s="6">
        <f t="shared" si="4"/>
        <v>1.09058100463137</v>
      </c>
      <c r="P13" s="6">
        <f t="shared" si="4"/>
        <v>1.401219582748934</v>
      </c>
      <c r="Q13" s="6">
        <f t="shared" si="4"/>
        <v>1.614341530369785</v>
      </c>
      <c r="R13" s="6">
        <f t="shared" si="4"/>
        <v>1.7693550043487076</v>
      </c>
      <c r="S13" s="6">
        <f t="shared" si="4"/>
        <v>1.8919458058747092</v>
      </c>
      <c r="T13" s="5">
        <f t="shared" si="5"/>
        <v>2</v>
      </c>
      <c r="U13" s="27">
        <v>3</v>
      </c>
      <c r="W13" s="17" t="s">
        <v>16</v>
      </c>
      <c r="X13" s="9">
        <f>(X12-$B$5)/(($X$11^2)/2)</f>
        <v>0</v>
      </c>
      <c r="Y13" s="9">
        <f t="shared" ref="Y13:AL13" si="12">(Y12-$B$5)/(($X$11^2)/2)</f>
        <v>-3.573707848699996E-2</v>
      </c>
      <c r="Z13" s="9">
        <f t="shared" si="12"/>
        <v>-9.1033932720019944E-2</v>
      </c>
      <c r="AA13" s="9">
        <f t="shared" si="12"/>
        <v>-0.20357090939680347</v>
      </c>
      <c r="AB13" s="9">
        <f t="shared" si="12"/>
        <v>-0.5933464929889305</v>
      </c>
      <c r="AC13" s="9">
        <f t="shared" si="12"/>
        <v>0.30864063364133471</v>
      </c>
      <c r="AD13" s="9">
        <f t="shared" si="12"/>
        <v>0.58970058582082852</v>
      </c>
      <c r="AE13" s="9">
        <f t="shared" si="12"/>
        <v>0.74184417302196382</v>
      </c>
      <c r="AF13" s="9">
        <f t="shared" si="12"/>
        <v>0.8536322763867793</v>
      </c>
      <c r="AG13" s="9">
        <f t="shared" si="12"/>
        <v>0.95233497481531226</v>
      </c>
      <c r="AH13" s="9">
        <f t="shared" si="12"/>
        <v>0.89241445561550792</v>
      </c>
      <c r="AI13" s="9">
        <f t="shared" si="12"/>
        <v>0.84549092751200083</v>
      </c>
      <c r="AJ13" s="9">
        <f t="shared" si="12"/>
        <v>0.80891511523717785</v>
      </c>
      <c r="AK13" s="9">
        <f t="shared" si="12"/>
        <v>0.77836961162684015</v>
      </c>
      <c r="AL13" s="9">
        <f t="shared" si="12"/>
        <v>0.75</v>
      </c>
    </row>
    <row r="14" spans="1:38" x14ac:dyDescent="0.25">
      <c r="A14" s="2" t="s">
        <v>7</v>
      </c>
      <c r="B14" s="2">
        <v>15</v>
      </c>
      <c r="D14" s="4"/>
      <c r="E14" s="34">
        <f>E15+$B$2</f>
        <v>0.2</v>
      </c>
      <c r="F14" s="7"/>
      <c r="G14" s="7"/>
      <c r="H14" s="7"/>
      <c r="I14" s="7"/>
      <c r="J14" s="7"/>
      <c r="K14" s="7"/>
      <c r="L14" s="7"/>
      <c r="M14" s="7"/>
      <c r="N14" s="5">
        <v>0</v>
      </c>
      <c r="O14" s="6">
        <f t="shared" si="4"/>
        <v>0.43664642531333753</v>
      </c>
      <c r="P14" s="6">
        <f t="shared" si="4"/>
        <v>0.65600470847209691</v>
      </c>
      <c r="Q14" s="6">
        <f t="shared" si="4"/>
        <v>0.78615284134332397</v>
      </c>
      <c r="R14" s="6">
        <f t="shared" si="4"/>
        <v>0.87426514230594765</v>
      </c>
      <c r="S14" s="6">
        <f t="shared" si="4"/>
        <v>0.94155273537501172</v>
      </c>
      <c r="T14" s="5">
        <f>T15+$B$2*$B$6</f>
        <v>1</v>
      </c>
      <c r="U14" s="27">
        <v>2</v>
      </c>
    </row>
    <row r="15" spans="1:38" x14ac:dyDescent="0.25">
      <c r="A15" s="2" t="s">
        <v>8</v>
      </c>
      <c r="B15" s="2">
        <v>6</v>
      </c>
      <c r="D15" s="4"/>
      <c r="E15" s="35">
        <v>0</v>
      </c>
      <c r="F15" s="7"/>
      <c r="G15" s="7"/>
      <c r="H15" s="7"/>
      <c r="I15" s="7"/>
      <c r="J15" s="7"/>
      <c r="K15" s="7"/>
      <c r="L15" s="7"/>
      <c r="M15" s="7"/>
      <c r="N15" s="7"/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28">
        <v>1</v>
      </c>
    </row>
    <row r="16" spans="1:38" ht="30" x14ac:dyDescent="0.25">
      <c r="A16" s="3" t="s">
        <v>9</v>
      </c>
      <c r="B16" s="2">
        <v>0</v>
      </c>
      <c r="D16" s="4"/>
      <c r="E16" s="7"/>
      <c r="F16" s="37">
        <v>0</v>
      </c>
      <c r="G16" s="38">
        <f>F16+$B$2</f>
        <v>0.2</v>
      </c>
      <c r="H16" s="38">
        <f t="shared" ref="H16:T16" si="13">G16+$B$2</f>
        <v>0.4</v>
      </c>
      <c r="I16" s="38">
        <f t="shared" si="13"/>
        <v>0.60000000000000009</v>
      </c>
      <c r="J16" s="38">
        <f t="shared" si="13"/>
        <v>0.8</v>
      </c>
      <c r="K16" s="38">
        <f t="shared" si="13"/>
        <v>1</v>
      </c>
      <c r="L16" s="38">
        <f t="shared" si="13"/>
        <v>1.2</v>
      </c>
      <c r="M16" s="38">
        <f t="shared" si="13"/>
        <v>1.4</v>
      </c>
      <c r="N16" s="38">
        <f t="shared" si="13"/>
        <v>1.5999999999999999</v>
      </c>
      <c r="O16" s="38">
        <f t="shared" si="13"/>
        <v>1.7999999999999998</v>
      </c>
      <c r="P16" s="38">
        <f t="shared" si="13"/>
        <v>1.9999999999999998</v>
      </c>
      <c r="Q16" s="38">
        <f t="shared" si="13"/>
        <v>2.1999999999999997</v>
      </c>
      <c r="R16" s="38">
        <f t="shared" si="13"/>
        <v>2.4</v>
      </c>
      <c r="S16" s="38">
        <f t="shared" si="13"/>
        <v>2.6</v>
      </c>
      <c r="T16" s="39">
        <f t="shared" si="13"/>
        <v>2.8000000000000003</v>
      </c>
      <c r="U16" s="1"/>
      <c r="W16" s="24" t="s">
        <v>18</v>
      </c>
      <c r="X16" s="2">
        <v>1</v>
      </c>
      <c r="Y16" s="2">
        <v>2</v>
      </c>
      <c r="Z16" s="2">
        <v>3</v>
      </c>
      <c r="AA16" s="2">
        <v>4</v>
      </c>
      <c r="AB16" s="2">
        <v>5</v>
      </c>
      <c r="AC16" s="2">
        <v>6</v>
      </c>
      <c r="AD16" s="2">
        <v>7</v>
      </c>
      <c r="AE16" s="2">
        <v>8</v>
      </c>
      <c r="AF16" s="2">
        <v>9</v>
      </c>
      <c r="AG16" s="2">
        <v>10</v>
      </c>
      <c r="AH16" s="2">
        <v>11</v>
      </c>
      <c r="AI16" s="2">
        <v>12</v>
      </c>
      <c r="AJ16" s="2">
        <v>13</v>
      </c>
      <c r="AK16" s="2">
        <v>14</v>
      </c>
      <c r="AL16" s="2">
        <v>15</v>
      </c>
    </row>
    <row r="17" spans="1:38" x14ac:dyDescent="0.25">
      <c r="A17" s="14"/>
      <c r="B17" s="13"/>
      <c r="W17" s="16" t="s">
        <v>9</v>
      </c>
      <c r="X17" s="8">
        <f>F5</f>
        <v>10</v>
      </c>
      <c r="Y17" s="8">
        <f t="shared" ref="Y17:AL17" si="14">G5</f>
        <v>10</v>
      </c>
      <c r="Z17" s="8">
        <f t="shared" si="14"/>
        <v>10</v>
      </c>
      <c r="AA17" s="8">
        <f t="shared" si="14"/>
        <v>10</v>
      </c>
      <c r="AB17" s="8">
        <f t="shared" si="14"/>
        <v>10</v>
      </c>
      <c r="AC17" s="8">
        <f t="shared" si="14"/>
        <v>10</v>
      </c>
      <c r="AD17" s="8">
        <f t="shared" si="14"/>
        <v>10</v>
      </c>
      <c r="AE17" s="8">
        <f t="shared" si="14"/>
        <v>10</v>
      </c>
      <c r="AF17" s="8">
        <f t="shared" si="14"/>
        <v>10</v>
      </c>
      <c r="AG17" s="8">
        <f t="shared" si="14"/>
        <v>10</v>
      </c>
      <c r="AH17" s="8">
        <f t="shared" si="14"/>
        <v>10</v>
      </c>
      <c r="AI17" s="8">
        <f t="shared" si="14"/>
        <v>10</v>
      </c>
      <c r="AJ17" s="8">
        <f t="shared" si="14"/>
        <v>10</v>
      </c>
      <c r="AK17" s="8">
        <f t="shared" si="14"/>
        <v>10</v>
      </c>
      <c r="AL17" s="8">
        <f t="shared" si="14"/>
        <v>10</v>
      </c>
    </row>
    <row r="18" spans="1:38" x14ac:dyDescent="0.25">
      <c r="E18" s="33">
        <v>1.9999999999999998</v>
      </c>
      <c r="F18" s="42">
        <v>10</v>
      </c>
      <c r="G18" s="11">
        <v>10</v>
      </c>
      <c r="H18" s="11">
        <v>10</v>
      </c>
      <c r="I18" s="11">
        <v>10</v>
      </c>
      <c r="J18" s="11">
        <v>10</v>
      </c>
      <c r="K18" s="11">
        <v>10</v>
      </c>
      <c r="L18" s="11">
        <v>10</v>
      </c>
      <c r="M18" s="11">
        <v>10</v>
      </c>
      <c r="N18" s="11">
        <v>10</v>
      </c>
      <c r="O18" s="11">
        <v>10</v>
      </c>
      <c r="P18" s="11">
        <v>10</v>
      </c>
      <c r="Q18" s="11">
        <v>10</v>
      </c>
      <c r="R18" s="11">
        <v>10</v>
      </c>
      <c r="S18" s="11">
        <v>10</v>
      </c>
      <c r="T18" s="11">
        <v>10</v>
      </c>
      <c r="W18" s="17" t="s">
        <v>10</v>
      </c>
      <c r="X18" s="9">
        <v>0</v>
      </c>
      <c r="Y18" s="9">
        <f>X18+$B$2</f>
        <v>0.2</v>
      </c>
      <c r="Z18" s="9">
        <f t="shared" ref="Z18:AL18" si="15">Y18+$B$2</f>
        <v>0.4</v>
      </c>
      <c r="AA18" s="9">
        <f t="shared" si="15"/>
        <v>0.60000000000000009</v>
      </c>
      <c r="AB18" s="9">
        <f t="shared" si="15"/>
        <v>0.8</v>
      </c>
      <c r="AC18" s="9">
        <f t="shared" si="15"/>
        <v>1</v>
      </c>
      <c r="AD18" s="9">
        <f t="shared" si="15"/>
        <v>1.2</v>
      </c>
      <c r="AE18" s="9">
        <f t="shared" si="15"/>
        <v>1.4</v>
      </c>
      <c r="AF18" s="9">
        <f t="shared" si="15"/>
        <v>1.5999999999999999</v>
      </c>
      <c r="AG18" s="9">
        <f t="shared" si="15"/>
        <v>1.7999999999999998</v>
      </c>
      <c r="AH18" s="9">
        <f t="shared" si="15"/>
        <v>1.9999999999999998</v>
      </c>
      <c r="AI18" s="9">
        <f t="shared" si="15"/>
        <v>2.1999999999999997</v>
      </c>
      <c r="AJ18" s="9">
        <f t="shared" si="15"/>
        <v>2.4</v>
      </c>
      <c r="AK18" s="9">
        <f t="shared" si="15"/>
        <v>2.6</v>
      </c>
      <c r="AL18" s="9">
        <f t="shared" si="15"/>
        <v>2.8000000000000003</v>
      </c>
    </row>
    <row r="19" spans="1:38" x14ac:dyDescent="0.25">
      <c r="E19" s="34">
        <v>1.7999999999999998</v>
      </c>
      <c r="F19" s="42">
        <v>8</v>
      </c>
      <c r="G19" s="11">
        <v>8.0283446441241058</v>
      </c>
      <c r="H19" s="11">
        <v>8.0648681504543092</v>
      </c>
      <c r="I19" s="11">
        <v>8.1180729951860933</v>
      </c>
      <c r="J19" s="11">
        <v>8.1952171608604605</v>
      </c>
      <c r="K19" s="11">
        <v>8.2968869257820277</v>
      </c>
      <c r="L19" s="11">
        <v>8.4102906654256326</v>
      </c>
      <c r="M19" s="11">
        <v>8.52214904523494</v>
      </c>
      <c r="N19" s="11">
        <v>8.6241900859194551</v>
      </c>
      <c r="O19" s="11">
        <v>8.7130063409670235</v>
      </c>
      <c r="P19" s="11">
        <v>8.7884287734016464</v>
      </c>
      <c r="Q19" s="11">
        <v>8.852108458874806</v>
      </c>
      <c r="R19" s="11">
        <v>8.906603752167193</v>
      </c>
      <c r="S19" s="11">
        <v>8.9548687842328185</v>
      </c>
      <c r="T19" s="11">
        <v>9</v>
      </c>
      <c r="W19" s="17" t="s">
        <v>11</v>
      </c>
      <c r="X19" s="9">
        <v>2</v>
      </c>
      <c r="Y19" s="9">
        <v>2</v>
      </c>
      <c r="Z19" s="9">
        <v>2</v>
      </c>
      <c r="AA19" s="9">
        <v>2</v>
      </c>
      <c r="AB19" s="9">
        <v>2</v>
      </c>
      <c r="AC19" s="9">
        <v>2</v>
      </c>
      <c r="AD19" s="9">
        <v>2</v>
      </c>
      <c r="AE19" s="9">
        <v>2</v>
      </c>
      <c r="AF19" s="9">
        <v>2</v>
      </c>
      <c r="AG19" s="9">
        <v>2</v>
      </c>
      <c r="AH19" s="9">
        <v>2</v>
      </c>
      <c r="AI19" s="9">
        <v>2</v>
      </c>
      <c r="AJ19" s="9">
        <v>2</v>
      </c>
      <c r="AK19" s="9">
        <v>2</v>
      </c>
      <c r="AL19" s="9">
        <v>2</v>
      </c>
    </row>
    <row r="20" spans="1:38" x14ac:dyDescent="0.25">
      <c r="E20" s="34">
        <v>1.5999999999999999</v>
      </c>
      <c r="F20" s="42">
        <v>6</v>
      </c>
      <c r="G20" s="11">
        <v>6.0485104280921682</v>
      </c>
      <c r="H20" s="11">
        <v>6.1130549670345866</v>
      </c>
      <c r="I20" s="11">
        <v>6.2122066766190969</v>
      </c>
      <c r="J20" s="11">
        <v>6.3659087335635771</v>
      </c>
      <c r="K20" s="11">
        <v>6.5820398916598419</v>
      </c>
      <c r="L20" s="11">
        <v>6.8221267105358603</v>
      </c>
      <c r="M20" s="11">
        <v>7.0541154525686958</v>
      </c>
      <c r="N20" s="11">
        <v>7.2616049840405008</v>
      </c>
      <c r="O20" s="11">
        <v>7.4394065309723008</v>
      </c>
      <c r="P20" s="11">
        <v>7.5886003197310332</v>
      </c>
      <c r="Q20" s="11">
        <v>7.7134013312645084</v>
      </c>
      <c r="R20" s="11">
        <v>7.8194377816946323</v>
      </c>
      <c r="S20" s="11">
        <v>7.912871392963079</v>
      </c>
      <c r="T20" s="11">
        <v>8</v>
      </c>
      <c r="W20" s="17" t="s">
        <v>12</v>
      </c>
      <c r="X20" s="9">
        <f>F31</f>
        <v>10</v>
      </c>
      <c r="Y20" s="9">
        <f t="shared" ref="Y20:AL20" si="16">G31</f>
        <v>9.8582767768169077</v>
      </c>
      <c r="Z20" s="9">
        <f t="shared" si="16"/>
        <v>9.6756592420690168</v>
      </c>
      <c r="AA20" s="9">
        <f t="shared" si="16"/>
        <v>9.4096350150826691</v>
      </c>
      <c r="AB20" s="9">
        <f t="shared" si="16"/>
        <v>9.023914181835373</v>
      </c>
      <c r="AC20" s="9">
        <f t="shared" si="16"/>
        <v>8.5155653525675845</v>
      </c>
      <c r="AD20" s="9">
        <f t="shared" si="16"/>
        <v>7.948546648058965</v>
      </c>
      <c r="AE20" s="9">
        <f t="shared" si="16"/>
        <v>7.389254745107765</v>
      </c>
      <c r="AF20" s="9">
        <f t="shared" si="16"/>
        <v>6.8790495371969218</v>
      </c>
      <c r="AG20" s="9">
        <f t="shared" si="16"/>
        <v>6.4349682621332516</v>
      </c>
      <c r="AH20" s="9">
        <f t="shared" si="16"/>
        <v>6.0578561005339182</v>
      </c>
      <c r="AI20" s="9">
        <f t="shared" si="16"/>
        <v>5.7394576789583152</v>
      </c>
      <c r="AJ20" s="9">
        <f t="shared" si="16"/>
        <v>5.46698121899718</v>
      </c>
      <c r="AK20" s="9">
        <f t="shared" si="16"/>
        <v>5.2256560685871634</v>
      </c>
      <c r="AL20" s="9">
        <f t="shared" si="16"/>
        <v>5</v>
      </c>
    </row>
    <row r="21" spans="1:38" x14ac:dyDescent="0.25">
      <c r="E21" s="34">
        <v>1.4</v>
      </c>
      <c r="F21" s="42">
        <v>4</v>
      </c>
      <c r="G21" s="11">
        <v>4.0526421047208361</v>
      </c>
      <c r="H21" s="11">
        <v>4.1266346202316937</v>
      </c>
      <c r="I21" s="11">
        <v>4.2517900232653059</v>
      </c>
      <c r="J21" s="11">
        <v>4.4741712235191899</v>
      </c>
      <c r="K21" s="11">
        <v>4.8432372239196138</v>
      </c>
      <c r="L21" s="11">
        <v>5.2420608670322091</v>
      </c>
      <c r="M21" s="11">
        <v>5.6105811141314854</v>
      </c>
      <c r="N21" s="11">
        <v>5.92870791410422</v>
      </c>
      <c r="O21" s="11">
        <v>6.1944145302353908</v>
      </c>
      <c r="P21" s="11">
        <v>6.4131646901477986</v>
      </c>
      <c r="Q21" s="11">
        <v>6.5934588063105499</v>
      </c>
      <c r="R21" s="11">
        <v>6.7448746796413053</v>
      </c>
      <c r="S21" s="11">
        <v>6.8771790219402904</v>
      </c>
      <c r="T21" s="11">
        <v>7</v>
      </c>
      <c r="W21" s="17" t="s">
        <v>13</v>
      </c>
      <c r="X21" s="9">
        <f>F44</f>
        <v>0</v>
      </c>
      <c r="Y21" s="9">
        <f t="shared" ref="Y21:AL21" si="17">G44</f>
        <v>0</v>
      </c>
      <c r="Z21" s="9">
        <f t="shared" si="17"/>
        <v>0</v>
      </c>
      <c r="AA21" s="9">
        <f t="shared" si="17"/>
        <v>0</v>
      </c>
      <c r="AB21" s="9">
        <f t="shared" si="17"/>
        <v>0</v>
      </c>
      <c r="AC21" s="9">
        <f t="shared" si="17"/>
        <v>0</v>
      </c>
      <c r="AD21" s="9">
        <f t="shared" si="17"/>
        <v>0</v>
      </c>
      <c r="AE21" s="9">
        <f t="shared" si="17"/>
        <v>0</v>
      </c>
      <c r="AF21" s="9">
        <f t="shared" si="17"/>
        <v>0</v>
      </c>
      <c r="AG21" s="9">
        <f t="shared" si="17"/>
        <v>0</v>
      </c>
      <c r="AH21" s="9">
        <f t="shared" si="17"/>
        <v>0</v>
      </c>
      <c r="AI21" s="9">
        <f t="shared" si="17"/>
        <v>0</v>
      </c>
      <c r="AJ21" s="9">
        <f t="shared" si="17"/>
        <v>0</v>
      </c>
      <c r="AK21" s="9">
        <f t="shared" si="17"/>
        <v>0</v>
      </c>
      <c r="AL21" s="9">
        <f t="shared" si="17"/>
        <v>0</v>
      </c>
    </row>
    <row r="22" spans="1:38" x14ac:dyDescent="0.25">
      <c r="E22" s="34">
        <v>1.2</v>
      </c>
      <c r="F22" s="42">
        <v>2</v>
      </c>
      <c r="G22" s="11">
        <v>2.0354233740441368</v>
      </c>
      <c r="H22" s="11">
        <v>2.0890513937572548</v>
      </c>
      <c r="I22" s="11">
        <v>2.1941475856553883</v>
      </c>
      <c r="J22" s="11">
        <v>2.4357489346681538</v>
      </c>
      <c r="K22" s="11">
        <v>3.0746769446798594</v>
      </c>
      <c r="L22" s="11">
        <v>3.6922984643074432</v>
      </c>
      <c r="M22" s="11">
        <v>4.217440277028075</v>
      </c>
      <c r="N22" s="11">
        <v>4.6482310925616739</v>
      </c>
      <c r="O22" s="11">
        <v>4.9963790511808028</v>
      </c>
      <c r="P22" s="11">
        <v>5.2761851694602129</v>
      </c>
      <c r="Q22" s="11">
        <v>5.5023945781545516</v>
      </c>
      <c r="R22" s="11">
        <v>5.689423149639012</v>
      </c>
      <c r="S22" s="11">
        <v>5.8509700360606853</v>
      </c>
      <c r="T22" s="11">
        <v>6</v>
      </c>
      <c r="W22" s="17" t="s">
        <v>14</v>
      </c>
      <c r="X22" s="9">
        <f>(X20^2+X21^2)^0.5</f>
        <v>10</v>
      </c>
      <c r="Y22" s="9">
        <f t="shared" ref="Y22:AL22" si="18">(Y20^2+Y21^2)^0.5</f>
        <v>9.8582767768169077</v>
      </c>
      <c r="Z22" s="9">
        <f t="shared" si="18"/>
        <v>9.6756592420690168</v>
      </c>
      <c r="AA22" s="9">
        <f t="shared" si="18"/>
        <v>9.4096350150826691</v>
      </c>
      <c r="AB22" s="9">
        <f t="shared" si="18"/>
        <v>9.023914181835373</v>
      </c>
      <c r="AC22" s="9">
        <f t="shared" si="18"/>
        <v>8.5155653525675845</v>
      </c>
      <c r="AD22" s="9">
        <f t="shared" si="18"/>
        <v>7.948546648058965</v>
      </c>
      <c r="AE22" s="9">
        <f t="shared" si="18"/>
        <v>7.389254745107765</v>
      </c>
      <c r="AF22" s="9">
        <f t="shared" si="18"/>
        <v>6.8790495371969218</v>
      </c>
      <c r="AG22" s="9">
        <f t="shared" si="18"/>
        <v>6.4349682621332516</v>
      </c>
      <c r="AH22" s="9">
        <f t="shared" si="18"/>
        <v>6.0578561005339182</v>
      </c>
      <c r="AI22" s="9">
        <f t="shared" si="18"/>
        <v>5.7394576789583152</v>
      </c>
      <c r="AJ22" s="9">
        <f t="shared" si="18"/>
        <v>5.46698121899718</v>
      </c>
      <c r="AK22" s="9">
        <f t="shared" si="18"/>
        <v>5.2256560685871634</v>
      </c>
      <c r="AL22" s="9">
        <f t="shared" si="18"/>
        <v>5</v>
      </c>
    </row>
    <row r="23" spans="1:38" x14ac:dyDescent="0.25">
      <c r="E23" s="34">
        <v>1</v>
      </c>
      <c r="F23" s="42">
        <v>0</v>
      </c>
      <c r="G23" s="11">
        <v>0</v>
      </c>
      <c r="H23" s="11">
        <v>0</v>
      </c>
      <c r="I23" s="11">
        <v>0</v>
      </c>
      <c r="J23" s="11">
        <v>0</v>
      </c>
      <c r="K23" s="11">
        <v>1.3274231849442879</v>
      </c>
      <c r="L23" s="11">
        <v>2.2350158116532053</v>
      </c>
      <c r="M23" s="11">
        <v>2.9186504966768694</v>
      </c>
      <c r="N23" s="11">
        <v>3.4503971960892308</v>
      </c>
      <c r="O23" s="11">
        <v>3.8666854883707442</v>
      </c>
      <c r="P23" s="11">
        <v>4.192802429459106</v>
      </c>
      <c r="Q23" s="11">
        <v>4.4505112510949427</v>
      </c>
      <c r="R23" s="11">
        <v>4.6594533500469284</v>
      </c>
      <c r="S23" s="11">
        <v>4.8372779975946116</v>
      </c>
      <c r="T23" s="11">
        <v>5</v>
      </c>
      <c r="W23" s="17" t="s">
        <v>15</v>
      </c>
      <c r="X23" s="15">
        <f>B5</f>
        <v>101325</v>
      </c>
      <c r="Y23" s="15">
        <f>(X23+(X22^2)/2)-(Y22^2)/2</f>
        <v>101326.40718949583</v>
      </c>
      <c r="Z23" s="15">
        <f t="shared" ref="Z23:AL23" si="19">(Y23+(Y22^2)/2)-(Z22^2)/2</f>
        <v>101328.19080911568</v>
      </c>
      <c r="AA23" s="15">
        <f t="shared" si="19"/>
        <v>101330.72938444147</v>
      </c>
      <c r="AB23" s="15">
        <f t="shared" si="19"/>
        <v>101334.28448641943</v>
      </c>
      <c r="AC23" s="15">
        <f t="shared" si="19"/>
        <v>101338.74257336308</v>
      </c>
      <c r="AD23" s="15">
        <f t="shared" si="19"/>
        <v>101343.41030309182</v>
      </c>
      <c r="AE23" s="15">
        <f t="shared" si="19"/>
        <v>101347.69945715595</v>
      </c>
      <c r="AF23" s="15">
        <f t="shared" si="19"/>
        <v>101351.33933873239</v>
      </c>
      <c r="AG23" s="15">
        <f t="shared" si="19"/>
        <v>101354.29559173266</v>
      </c>
      <c r="AH23" s="15">
        <f t="shared" si="19"/>
        <v>101356.65118973261</v>
      </c>
      <c r="AI23" s="15">
        <f t="shared" si="19"/>
        <v>101358.52931277572</v>
      </c>
      <c r="AJ23" s="15">
        <f t="shared" si="19"/>
        <v>101360.05605817557</v>
      </c>
      <c r="AK23" s="15">
        <f t="shared" si="19"/>
        <v>101361.34625932641</v>
      </c>
      <c r="AL23" s="15">
        <f t="shared" si="19"/>
        <v>101362.5</v>
      </c>
    </row>
    <row r="24" spans="1:38" x14ac:dyDescent="0.25">
      <c r="E24" s="34">
        <v>0.8</v>
      </c>
      <c r="F24" s="7"/>
      <c r="G24" s="7"/>
      <c r="H24" s="7"/>
      <c r="I24" s="7"/>
      <c r="J24" s="7"/>
      <c r="K24" s="11">
        <v>0</v>
      </c>
      <c r="L24" s="11">
        <v>1.0016911364812</v>
      </c>
      <c r="M24" s="11">
        <v>1.771748753466905</v>
      </c>
      <c r="N24" s="11">
        <v>2.3680217739690805</v>
      </c>
      <c r="O24" s="11">
        <v>2.8271633486315619</v>
      </c>
      <c r="P24" s="11">
        <v>3.1778278827673883</v>
      </c>
      <c r="Q24" s="11">
        <v>3.4473947091078485</v>
      </c>
      <c r="R24" s="11">
        <v>3.66060104983299</v>
      </c>
      <c r="S24" s="11">
        <v>3.8386886288690794</v>
      </c>
      <c r="T24" s="11">
        <v>4</v>
      </c>
      <c r="W24" s="17" t="s">
        <v>16</v>
      </c>
      <c r="X24" s="9">
        <f>(X23-$B$5)/(($X$11^2)/2)</f>
        <v>0</v>
      </c>
      <c r="Y24" s="9">
        <f t="shared" ref="Y24:AL24" si="20">(Y23-$B$5)/(($X$11^2)/2)</f>
        <v>2.814378991664853E-2</v>
      </c>
      <c r="Z24" s="9">
        <f t="shared" si="20"/>
        <v>6.3816182313603351E-2</v>
      </c>
      <c r="AA24" s="9">
        <f t="shared" si="20"/>
        <v>0.11458768882934237</v>
      </c>
      <c r="AB24" s="9">
        <f t="shared" si="20"/>
        <v>0.18568972838867923</v>
      </c>
      <c r="AC24" s="9">
        <f t="shared" si="20"/>
        <v>0.27485146726161475</v>
      </c>
      <c r="AD24" s="9">
        <f t="shared" si="20"/>
        <v>0.36820606183639026</v>
      </c>
      <c r="AE24" s="9">
        <f t="shared" si="20"/>
        <v>0.45398914311896077</v>
      </c>
      <c r="AF24" s="9">
        <f t="shared" si="20"/>
        <v>0.52678677464777135</v>
      </c>
      <c r="AG24" s="9">
        <f t="shared" si="20"/>
        <v>0.58591183465323415</v>
      </c>
      <c r="AH24" s="9">
        <f t="shared" si="20"/>
        <v>0.63302379465225389</v>
      </c>
      <c r="AI24" s="9">
        <f t="shared" si="20"/>
        <v>0.67058625551435402</v>
      </c>
      <c r="AJ24" s="9">
        <f t="shared" si="20"/>
        <v>0.70112116351141596</v>
      </c>
      <c r="AK24" s="9">
        <f t="shared" si="20"/>
        <v>0.72692518652824223</v>
      </c>
      <c r="AL24" s="9">
        <f t="shared" si="20"/>
        <v>0.75</v>
      </c>
    </row>
    <row r="25" spans="1:38" x14ac:dyDescent="0.25">
      <c r="E25" s="34">
        <v>0.60000000000000009</v>
      </c>
      <c r="F25" s="7"/>
      <c r="G25" s="7"/>
      <c r="H25" s="7"/>
      <c r="I25" s="7"/>
      <c r="J25" s="7"/>
      <c r="K25" s="7"/>
      <c r="L25" s="11">
        <v>0</v>
      </c>
      <c r="M25" s="11">
        <v>0.7986316462098132</v>
      </c>
      <c r="N25" s="11">
        <v>1.4227778510813123</v>
      </c>
      <c r="O25" s="11">
        <v>1.8961183142741169</v>
      </c>
      <c r="P25" s="11">
        <v>2.2439511076388072</v>
      </c>
      <c r="Q25" s="11">
        <v>2.5006387116497013</v>
      </c>
      <c r="R25" s="11">
        <v>2.696867553791205</v>
      </c>
      <c r="S25" s="11">
        <v>2.8568754915953618</v>
      </c>
      <c r="T25" s="11">
        <v>3</v>
      </c>
    </row>
    <row r="26" spans="1:38" x14ac:dyDescent="0.25">
      <c r="E26" s="34">
        <v>0.4</v>
      </c>
      <c r="F26" s="7"/>
      <c r="G26" s="7"/>
      <c r="H26" s="7"/>
      <c r="I26" s="7"/>
      <c r="J26" s="7"/>
      <c r="K26" s="7"/>
      <c r="L26" s="7"/>
      <c r="M26" s="11">
        <v>0</v>
      </c>
      <c r="N26" s="11">
        <v>0.62833970768329084</v>
      </c>
      <c r="O26" s="11">
        <v>1.0905809970395248</v>
      </c>
      <c r="P26" s="11">
        <v>1.4012195742768923</v>
      </c>
      <c r="Q26" s="11">
        <v>1.6143415221035786</v>
      </c>
      <c r="R26" s="11">
        <v>1.7693549982322319</v>
      </c>
      <c r="S26" s="11">
        <v>1.8919458024441551</v>
      </c>
      <c r="T26" s="11">
        <v>2</v>
      </c>
    </row>
    <row r="27" spans="1:38" x14ac:dyDescent="0.25">
      <c r="E27" s="34">
        <v>0.2</v>
      </c>
      <c r="F27" s="7"/>
      <c r="G27" s="7"/>
      <c r="H27" s="7"/>
      <c r="I27" s="7"/>
      <c r="J27" s="7"/>
      <c r="K27" s="7"/>
      <c r="L27" s="7"/>
      <c r="M27" s="7"/>
      <c r="N27" s="11">
        <v>0</v>
      </c>
      <c r="O27" s="11">
        <v>0.43664642229118</v>
      </c>
      <c r="P27" s="11">
        <v>0.65600470421382517</v>
      </c>
      <c r="Q27" s="11">
        <v>0.78615283732031516</v>
      </c>
      <c r="R27" s="11">
        <v>0.87426513905589198</v>
      </c>
      <c r="S27" s="11">
        <v>0.94155273367124348</v>
      </c>
      <c r="T27" s="11">
        <v>1</v>
      </c>
    </row>
    <row r="28" spans="1:38" x14ac:dyDescent="0.25">
      <c r="E28" s="35">
        <v>0</v>
      </c>
      <c r="F28" s="7"/>
      <c r="G28" s="7"/>
      <c r="H28" s="7"/>
      <c r="I28" s="7"/>
      <c r="J28" s="7"/>
      <c r="K28" s="7"/>
      <c r="L28" s="7"/>
      <c r="M28" s="7"/>
      <c r="N28" s="7"/>
      <c r="O28" s="43">
        <v>0</v>
      </c>
      <c r="P28" s="43">
        <v>0</v>
      </c>
      <c r="Q28" s="43">
        <v>0</v>
      </c>
      <c r="R28" s="43">
        <v>0</v>
      </c>
      <c r="S28" s="43">
        <v>0</v>
      </c>
      <c r="T28" s="43">
        <v>0</v>
      </c>
    </row>
    <row r="29" spans="1:38" x14ac:dyDescent="0.25">
      <c r="E29" s="7"/>
      <c r="F29" s="37">
        <v>0</v>
      </c>
      <c r="G29" s="38">
        <v>0.2</v>
      </c>
      <c r="H29" s="38">
        <v>0.4</v>
      </c>
      <c r="I29" s="38">
        <v>0.60000000000000009</v>
      </c>
      <c r="J29" s="38">
        <v>0.8</v>
      </c>
      <c r="K29" s="38">
        <v>1</v>
      </c>
      <c r="L29" s="38">
        <v>1.2</v>
      </c>
      <c r="M29" s="38">
        <v>1.4</v>
      </c>
      <c r="N29" s="38">
        <v>1.5999999999999999</v>
      </c>
      <c r="O29" s="38">
        <v>1.7999999999999998</v>
      </c>
      <c r="P29" s="38">
        <v>1.9999999999999998</v>
      </c>
      <c r="Q29" s="38">
        <v>2.1999999999999997</v>
      </c>
      <c r="R29" s="38">
        <v>2.4</v>
      </c>
      <c r="S29" s="38">
        <v>2.6</v>
      </c>
      <c r="T29" s="39">
        <v>2.8000000000000003</v>
      </c>
    </row>
    <row r="30" spans="1:38" x14ac:dyDescent="0.25"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38" x14ac:dyDescent="0.25">
      <c r="D31" s="44" t="s">
        <v>12</v>
      </c>
      <c r="E31" s="33">
        <v>1.9999999999999998</v>
      </c>
      <c r="F31" s="42">
        <f>(F5-F6)/$B$2</f>
        <v>10</v>
      </c>
      <c r="G31" s="11">
        <f t="shared" ref="G31:T31" si="21">(G5-G6)/$B$2</f>
        <v>9.8582767768169077</v>
      </c>
      <c r="H31" s="11">
        <f t="shared" si="21"/>
        <v>9.6756592420690168</v>
      </c>
      <c r="I31" s="11">
        <f t="shared" si="21"/>
        <v>9.4096350150826691</v>
      </c>
      <c r="J31" s="11">
        <f t="shared" si="21"/>
        <v>9.023914181835373</v>
      </c>
      <c r="K31" s="11">
        <f t="shared" si="21"/>
        <v>8.5155653525675845</v>
      </c>
      <c r="L31" s="11">
        <f t="shared" si="21"/>
        <v>7.948546648058965</v>
      </c>
      <c r="M31" s="11">
        <f t="shared" si="21"/>
        <v>7.389254745107765</v>
      </c>
      <c r="N31" s="11">
        <f t="shared" si="21"/>
        <v>6.8790495371969218</v>
      </c>
      <c r="O31" s="11">
        <f t="shared" si="21"/>
        <v>6.4349682621332516</v>
      </c>
      <c r="P31" s="11">
        <f t="shared" si="21"/>
        <v>6.0578561005339182</v>
      </c>
      <c r="Q31" s="11">
        <f t="shared" si="21"/>
        <v>5.7394576789583152</v>
      </c>
      <c r="R31" s="11">
        <f t="shared" si="21"/>
        <v>5.46698121899718</v>
      </c>
      <c r="S31" s="11">
        <f t="shared" si="21"/>
        <v>5.2256560685871634</v>
      </c>
      <c r="T31" s="11">
        <f t="shared" si="21"/>
        <v>5</v>
      </c>
      <c r="V31" s="10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</row>
    <row r="32" spans="1:38" x14ac:dyDescent="0.25">
      <c r="E32" s="34">
        <v>1.7999999999999998</v>
      </c>
      <c r="F32" s="45">
        <f>(F5-F7)/(2*$B$2)</f>
        <v>10</v>
      </c>
      <c r="G32" s="8">
        <f t="shared" ref="G32:T32" si="22">(G5-G7)/(2*$B$2)</f>
        <v>9.8787239275752938</v>
      </c>
      <c r="H32" s="8">
        <f t="shared" si="22"/>
        <v>9.7173625778767061</v>
      </c>
      <c r="I32" s="8">
        <f t="shared" si="22"/>
        <v>9.4694833005940229</v>
      </c>
      <c r="J32" s="8">
        <f t="shared" si="22"/>
        <v>9.085228154588382</v>
      </c>
      <c r="K32" s="8">
        <f t="shared" si="22"/>
        <v>8.5449002538743226</v>
      </c>
      <c r="L32" s="8">
        <f t="shared" si="22"/>
        <v>7.9446832020710145</v>
      </c>
      <c r="M32" s="8">
        <f t="shared" si="22"/>
        <v>7.3647113412857586</v>
      </c>
      <c r="N32" s="8">
        <f t="shared" si="22"/>
        <v>6.8459875102720797</v>
      </c>
      <c r="O32" s="8">
        <f t="shared" si="22"/>
        <v>6.4014836406412812</v>
      </c>
      <c r="P32" s="8">
        <f t="shared" si="22"/>
        <v>6.0284991713835918</v>
      </c>
      <c r="Q32" s="8">
        <f t="shared" si="22"/>
        <v>5.7164966458681121</v>
      </c>
      <c r="R32" s="8">
        <f t="shared" si="22"/>
        <v>5.451405527477446</v>
      </c>
      <c r="S32" s="8">
        <f t="shared" si="22"/>
        <v>5.2178215075826628</v>
      </c>
      <c r="T32" s="8">
        <f t="shared" si="22"/>
        <v>5</v>
      </c>
      <c r="V32" s="18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</row>
    <row r="33" spans="4:37" x14ac:dyDescent="0.25">
      <c r="E33" s="34">
        <v>1.5999999999999999</v>
      </c>
      <c r="F33" s="45">
        <f t="shared" ref="F33:T40" si="23">(F6-F8)/(2*$B$2)</f>
        <v>10</v>
      </c>
      <c r="G33" s="8">
        <f t="shared" si="23"/>
        <v>9.939256347611547</v>
      </c>
      <c r="H33" s="8">
        <f t="shared" si="23"/>
        <v>9.8455838234792505</v>
      </c>
      <c r="I33" s="8">
        <f t="shared" si="23"/>
        <v>9.6657074261928102</v>
      </c>
      <c r="J33" s="8">
        <f t="shared" si="23"/>
        <v>9.3026148369469066</v>
      </c>
      <c r="K33" s="8">
        <f t="shared" si="23"/>
        <v>8.6341242444092714</v>
      </c>
      <c r="L33" s="8">
        <f t="shared" si="23"/>
        <v>7.9205744804115152</v>
      </c>
      <c r="M33" s="8">
        <f t="shared" si="23"/>
        <v>7.278919808237867</v>
      </c>
      <c r="N33" s="8">
        <f t="shared" si="23"/>
        <v>6.7387054057958817</v>
      </c>
      <c r="O33" s="8">
        <f t="shared" si="23"/>
        <v>6.2964795024301718</v>
      </c>
      <c r="P33" s="8">
        <f t="shared" si="23"/>
        <v>5.9381601836472981</v>
      </c>
      <c r="Q33" s="8">
        <f t="shared" si="23"/>
        <v>5.6466241110157407</v>
      </c>
      <c r="R33" s="8">
        <f t="shared" si="23"/>
        <v>5.4043226657611072</v>
      </c>
      <c r="S33" s="8">
        <f t="shared" si="23"/>
        <v>5.1942243977907498</v>
      </c>
      <c r="T33" s="8">
        <f t="shared" si="23"/>
        <v>5</v>
      </c>
      <c r="V33" s="20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</row>
    <row r="34" spans="4:37" x14ac:dyDescent="0.25">
      <c r="E34" s="34">
        <v>1.4</v>
      </c>
      <c r="F34" s="45">
        <f t="shared" si="23"/>
        <v>10</v>
      </c>
      <c r="G34" s="8">
        <f t="shared" si="23"/>
        <v>10.032717635875898</v>
      </c>
      <c r="H34" s="8">
        <f t="shared" si="23"/>
        <v>10.06000893466628</v>
      </c>
      <c r="I34" s="8">
        <f t="shared" si="23"/>
        <v>10.045147729599279</v>
      </c>
      <c r="J34" s="8">
        <f t="shared" si="23"/>
        <v>9.8253994992525939</v>
      </c>
      <c r="K34" s="8">
        <f t="shared" si="23"/>
        <v>8.7684073662259898</v>
      </c>
      <c r="L34" s="8">
        <f t="shared" si="23"/>
        <v>7.8245706101831418</v>
      </c>
      <c r="M34" s="8">
        <f t="shared" si="23"/>
        <v>7.0916879289158219</v>
      </c>
      <c r="N34" s="8">
        <f t="shared" si="23"/>
        <v>6.5334347157264645</v>
      </c>
      <c r="O34" s="8">
        <f t="shared" si="23"/>
        <v>6.1075686839662042</v>
      </c>
      <c r="P34" s="8">
        <f t="shared" si="23"/>
        <v>5.7810378605274959</v>
      </c>
      <c r="Q34" s="8">
        <f t="shared" si="23"/>
        <v>5.5275168688164378</v>
      </c>
      <c r="R34" s="8">
        <f t="shared" si="23"/>
        <v>5.3250365700828839</v>
      </c>
      <c r="S34" s="8">
        <f t="shared" si="23"/>
        <v>5.154753386683641</v>
      </c>
      <c r="T34" s="8">
        <f t="shared" si="23"/>
        <v>5</v>
      </c>
      <c r="V34" s="20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</row>
    <row r="35" spans="4:37" x14ac:dyDescent="0.25">
      <c r="E35" s="34">
        <v>1.2</v>
      </c>
      <c r="F35" s="45">
        <f t="shared" si="23"/>
        <v>10</v>
      </c>
      <c r="G35" s="8">
        <f t="shared" si="23"/>
        <v>10.131605263979999</v>
      </c>
      <c r="H35" s="8">
        <f t="shared" si="23"/>
        <v>10.316586555486239</v>
      </c>
      <c r="I35" s="8">
        <f t="shared" si="23"/>
        <v>10.629475066265854</v>
      </c>
      <c r="J35" s="8">
        <f t="shared" si="23"/>
        <v>11.185428072135405</v>
      </c>
      <c r="K35" s="8">
        <f t="shared" si="23"/>
        <v>8.7895351065987715</v>
      </c>
      <c r="L35" s="8">
        <f t="shared" si="23"/>
        <v>7.5176126440528765</v>
      </c>
      <c r="M35" s="8">
        <f t="shared" si="23"/>
        <v>6.7298265453098649</v>
      </c>
      <c r="N35" s="8">
        <f t="shared" si="23"/>
        <v>6.1957767933691787</v>
      </c>
      <c r="O35" s="8">
        <f t="shared" si="23"/>
        <v>5.8193226006527627</v>
      </c>
      <c r="P35" s="8">
        <f t="shared" si="23"/>
        <v>5.5509056462774371</v>
      </c>
      <c r="Q35" s="8">
        <f t="shared" si="23"/>
        <v>5.3573688827748311</v>
      </c>
      <c r="R35" s="8">
        <f t="shared" si="23"/>
        <v>5.2135533196393302</v>
      </c>
      <c r="S35" s="8">
        <f t="shared" si="23"/>
        <v>5.0997525585552346</v>
      </c>
      <c r="T35" s="8">
        <f t="shared" si="23"/>
        <v>5</v>
      </c>
      <c r="V35" s="20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</row>
    <row r="36" spans="4:37" x14ac:dyDescent="0.25">
      <c r="E36" s="34">
        <v>1</v>
      </c>
      <c r="F36" s="42">
        <f>(F9-F10)/$B$2</f>
        <v>10</v>
      </c>
      <c r="G36" s="11">
        <f t="shared" ref="G36:N40" si="24">(G9-G10)/$B$2</f>
        <v>10.177116873097614</v>
      </c>
      <c r="H36" s="11">
        <f t="shared" si="24"/>
        <v>10.445256974914022</v>
      </c>
      <c r="I36" s="11">
        <f t="shared" si="24"/>
        <v>10.970737939613393</v>
      </c>
      <c r="J36" s="11">
        <f t="shared" si="24"/>
        <v>12.178744692318046</v>
      </c>
      <c r="K36" s="8">
        <f t="shared" si="23"/>
        <v>7.6866923798996867</v>
      </c>
      <c r="L36" s="8">
        <f t="shared" si="23"/>
        <v>6.7265183345457746</v>
      </c>
      <c r="M36" s="8">
        <f t="shared" si="23"/>
        <v>6.1142288214628167</v>
      </c>
      <c r="N36" s="8">
        <f t="shared" si="23"/>
        <v>5.7005233057083231</v>
      </c>
      <c r="O36" s="8">
        <f t="shared" si="23"/>
        <v>5.4230392632791817</v>
      </c>
      <c r="P36" s="8">
        <f t="shared" si="23"/>
        <v>5.2458932213155833</v>
      </c>
      <c r="Q36" s="8">
        <f t="shared" si="23"/>
        <v>5.1374996757248113</v>
      </c>
      <c r="R36" s="8">
        <f t="shared" si="23"/>
        <v>5.0720552513052564</v>
      </c>
      <c r="S36" s="8">
        <f t="shared" si="23"/>
        <v>5.0307035188443425</v>
      </c>
      <c r="T36" s="8">
        <f t="shared" si="23"/>
        <v>5</v>
      </c>
      <c r="V36" s="20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</row>
    <row r="37" spans="4:37" x14ac:dyDescent="0.25">
      <c r="E37" s="34">
        <v>0.8</v>
      </c>
      <c r="F37" s="7"/>
      <c r="G37" s="7"/>
      <c r="H37" s="7"/>
      <c r="I37" s="7"/>
      <c r="J37" s="7"/>
      <c r="K37" s="11">
        <f t="shared" si="24"/>
        <v>6.6371159454163307</v>
      </c>
      <c r="L37" s="8">
        <f t="shared" si="23"/>
        <v>5.5875395515061248</v>
      </c>
      <c r="M37" s="8">
        <f t="shared" si="23"/>
        <v>5.300047146055749</v>
      </c>
      <c r="N37" s="8">
        <f t="shared" si="23"/>
        <v>5.0690483809012905</v>
      </c>
      <c r="O37" s="8">
        <f t="shared" si="23"/>
        <v>4.9264179506059342</v>
      </c>
      <c r="P37" s="8">
        <f t="shared" si="23"/>
        <v>4.8721283179532424</v>
      </c>
      <c r="Q37" s="8">
        <f t="shared" si="23"/>
        <v>4.8746813588293687</v>
      </c>
      <c r="R37" s="8">
        <f t="shared" si="23"/>
        <v>4.9064644980320438</v>
      </c>
      <c r="S37" s="8">
        <f t="shared" si="23"/>
        <v>4.9510062686701577</v>
      </c>
      <c r="T37" s="8">
        <f t="shared" si="23"/>
        <v>5</v>
      </c>
      <c r="V37" s="20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</row>
    <row r="38" spans="4:37" x14ac:dyDescent="0.25">
      <c r="E38" s="34">
        <v>0.60000000000000009</v>
      </c>
      <c r="F38" s="7"/>
      <c r="G38" s="7"/>
      <c r="H38" s="7"/>
      <c r="I38" s="7"/>
      <c r="J38" s="7"/>
      <c r="K38" s="7"/>
      <c r="L38" s="11">
        <f t="shared" si="24"/>
        <v>5.0084557064001372</v>
      </c>
      <c r="M38" s="8">
        <f t="shared" si="23"/>
        <v>4.429371908335602</v>
      </c>
      <c r="N38" s="8">
        <f t="shared" si="23"/>
        <v>4.3492051882176082</v>
      </c>
      <c r="O38" s="8">
        <f t="shared" si="23"/>
        <v>4.3414559005349069</v>
      </c>
      <c r="P38" s="8">
        <f t="shared" si="23"/>
        <v>4.4415207899009923</v>
      </c>
      <c r="Q38" s="8">
        <f t="shared" si="23"/>
        <v>4.5826329836661754</v>
      </c>
      <c r="R38" s="8">
        <f t="shared" si="23"/>
        <v>4.728115140262644</v>
      </c>
      <c r="S38" s="8">
        <f t="shared" si="23"/>
        <v>4.8668570722025795</v>
      </c>
      <c r="T38" s="8">
        <f t="shared" si="23"/>
        <v>5</v>
      </c>
      <c r="V38" s="20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</row>
    <row r="39" spans="4:37" x14ac:dyDescent="0.25">
      <c r="E39" s="34">
        <v>0.4</v>
      </c>
      <c r="F39" s="7"/>
      <c r="G39" s="7"/>
      <c r="H39" s="7"/>
      <c r="I39" s="7"/>
      <c r="J39" s="7"/>
      <c r="K39" s="7"/>
      <c r="L39" s="7"/>
      <c r="M39" s="11">
        <f t="shared" si="24"/>
        <v>3.9931582556852718</v>
      </c>
      <c r="N39" s="8">
        <f t="shared" si="23"/>
        <v>3.5569446513351881</v>
      </c>
      <c r="O39" s="8">
        <f t="shared" si="23"/>
        <v>3.64867975196116</v>
      </c>
      <c r="P39" s="8">
        <f t="shared" si="23"/>
        <v>3.9698660306748201</v>
      </c>
      <c r="Q39" s="8">
        <f t="shared" si="23"/>
        <v>4.2862147045425907</v>
      </c>
      <c r="R39" s="8">
        <f t="shared" si="23"/>
        <v>4.5565060513040585</v>
      </c>
      <c r="S39" s="8">
        <f t="shared" si="23"/>
        <v>4.7883069022527458</v>
      </c>
      <c r="T39" s="8">
        <f t="shared" si="23"/>
        <v>5</v>
      </c>
      <c r="V39" s="20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</row>
    <row r="40" spans="4:37" x14ac:dyDescent="0.25">
      <c r="E40" s="34">
        <v>0.2</v>
      </c>
      <c r="F40" s="7"/>
      <c r="G40" s="7"/>
      <c r="H40" s="7"/>
      <c r="I40" s="7"/>
      <c r="J40" s="7"/>
      <c r="K40" s="7"/>
      <c r="L40" s="7"/>
      <c r="M40" s="7"/>
      <c r="N40" s="11">
        <f t="shared" si="24"/>
        <v>3.1416985601510459</v>
      </c>
      <c r="O40" s="8">
        <f t="shared" si="23"/>
        <v>2.7264525115784246</v>
      </c>
      <c r="P40" s="8">
        <f t="shared" si="23"/>
        <v>3.5030489568723349</v>
      </c>
      <c r="Q40" s="8">
        <f t="shared" si="23"/>
        <v>4.0358538259244625</v>
      </c>
      <c r="R40" s="8">
        <f t="shared" si="23"/>
        <v>4.4233875108717688</v>
      </c>
      <c r="S40" s="8">
        <f t="shared" si="23"/>
        <v>4.7298645146867724</v>
      </c>
      <c r="T40" s="8">
        <f t="shared" si="23"/>
        <v>5</v>
      </c>
      <c r="W40" s="25"/>
      <c r="X40" s="25"/>
      <c r="Y40" s="25"/>
      <c r="Z40" s="25"/>
    </row>
    <row r="41" spans="4:37" x14ac:dyDescent="0.25">
      <c r="E41" s="35">
        <v>0</v>
      </c>
      <c r="F41" s="7"/>
      <c r="G41" s="7"/>
      <c r="H41" s="7"/>
      <c r="I41" s="7"/>
      <c r="J41" s="7"/>
      <c r="K41" s="7"/>
      <c r="L41" s="7"/>
      <c r="M41" s="7"/>
      <c r="N41" s="7"/>
      <c r="O41" s="43">
        <f t="shared" ref="O41:T41" si="25">(O14-O15)/$B$2</f>
        <v>2.1832321265666876</v>
      </c>
      <c r="P41" s="43">
        <f t="shared" si="25"/>
        <v>3.2800235423604844</v>
      </c>
      <c r="Q41" s="43">
        <f t="shared" si="25"/>
        <v>3.9307642067166197</v>
      </c>
      <c r="R41" s="43">
        <f t="shared" si="25"/>
        <v>4.3713257115297379</v>
      </c>
      <c r="S41" s="43">
        <f t="shared" si="25"/>
        <v>4.7077636768750581</v>
      </c>
      <c r="T41" s="43">
        <f t="shared" si="25"/>
        <v>5</v>
      </c>
      <c r="W41" s="25"/>
      <c r="X41" s="25"/>
      <c r="Y41" s="25"/>
      <c r="Z41" s="25"/>
    </row>
    <row r="42" spans="4:37" x14ac:dyDescent="0.25">
      <c r="E42" s="7"/>
      <c r="F42" s="37">
        <v>0</v>
      </c>
      <c r="G42" s="38">
        <v>0.2</v>
      </c>
      <c r="H42" s="38">
        <v>0.4</v>
      </c>
      <c r="I42" s="38">
        <v>0.60000000000000009</v>
      </c>
      <c r="J42" s="38">
        <v>0.8</v>
      </c>
      <c r="K42" s="38">
        <v>1</v>
      </c>
      <c r="L42" s="38">
        <v>1.2</v>
      </c>
      <c r="M42" s="38">
        <v>1.4</v>
      </c>
      <c r="N42" s="38">
        <v>1.5999999999999999</v>
      </c>
      <c r="O42" s="38">
        <v>1.7999999999999998</v>
      </c>
      <c r="P42" s="38">
        <v>1.9999999999999998</v>
      </c>
      <c r="Q42" s="38">
        <v>2.1999999999999997</v>
      </c>
      <c r="R42" s="38">
        <v>2.4</v>
      </c>
      <c r="S42" s="38">
        <v>2.6</v>
      </c>
      <c r="T42" s="39">
        <v>2.8000000000000003</v>
      </c>
      <c r="W42" s="25"/>
      <c r="X42" s="25"/>
      <c r="Y42" s="25"/>
      <c r="Z42" s="25"/>
    </row>
    <row r="43" spans="4:37" x14ac:dyDescent="0.25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W43" s="25"/>
      <c r="X43" s="25"/>
      <c r="Y43" s="25"/>
      <c r="Z43" s="25"/>
    </row>
    <row r="44" spans="4:37" x14ac:dyDescent="0.25">
      <c r="D44" s="41" t="s">
        <v>13</v>
      </c>
      <c r="E44" s="33">
        <v>1.9999999999999998</v>
      </c>
      <c r="F44" s="42">
        <f>-(G5-F5)/$B$2</f>
        <v>0</v>
      </c>
      <c r="G44" s="11">
        <f>-(H5-F5)/($B$2*2)</f>
        <v>0</v>
      </c>
      <c r="H44" s="11">
        <f t="shared" ref="H44:S44" si="26">-(I5-G5)/($B$2*2)</f>
        <v>0</v>
      </c>
      <c r="I44" s="11">
        <f t="shared" si="26"/>
        <v>0</v>
      </c>
      <c r="J44" s="11">
        <f t="shared" si="26"/>
        <v>0</v>
      </c>
      <c r="K44" s="11">
        <f t="shared" si="26"/>
        <v>0</v>
      </c>
      <c r="L44" s="11">
        <f t="shared" si="26"/>
        <v>0</v>
      </c>
      <c r="M44" s="11">
        <f t="shared" si="26"/>
        <v>0</v>
      </c>
      <c r="N44" s="11">
        <f t="shared" si="26"/>
        <v>0</v>
      </c>
      <c r="O44" s="11">
        <f t="shared" si="26"/>
        <v>0</v>
      </c>
      <c r="P44" s="11">
        <f t="shared" si="26"/>
        <v>0</v>
      </c>
      <c r="Q44" s="11">
        <f t="shared" si="26"/>
        <v>0</v>
      </c>
      <c r="R44" s="11">
        <f t="shared" si="26"/>
        <v>0</v>
      </c>
      <c r="S44" s="11">
        <f t="shared" si="26"/>
        <v>0</v>
      </c>
      <c r="T44" s="11">
        <f>-(T5-S5)/$B$2</f>
        <v>0</v>
      </c>
      <c r="W44" s="25"/>
      <c r="X44" s="25"/>
      <c r="Y44" s="25"/>
      <c r="Z44" s="25"/>
    </row>
    <row r="45" spans="4:37" x14ac:dyDescent="0.25">
      <c r="E45" s="34">
        <v>1.7999999999999998</v>
      </c>
      <c r="F45" s="42">
        <f t="shared" ref="F45:F49" si="27">-(G6-F6)/$B$2</f>
        <v>-0.14172322318309227</v>
      </c>
      <c r="G45" s="8">
        <f t="shared" ref="G45:S54" si="28">-(H6-F6)/($B$2*2)</f>
        <v>-0.16217037896549158</v>
      </c>
      <c r="H45" s="8">
        <f t="shared" si="28"/>
        <v>-0.22432088086711932</v>
      </c>
      <c r="I45" s="8">
        <f t="shared" si="28"/>
        <v>-0.32587253011682193</v>
      </c>
      <c r="J45" s="8">
        <f t="shared" si="28"/>
        <v>-0.44703483125754229</v>
      </c>
      <c r="K45" s="8">
        <f t="shared" si="28"/>
        <v>-0.53768376688820396</v>
      </c>
      <c r="L45" s="8">
        <f t="shared" si="28"/>
        <v>-0.56315530372990974</v>
      </c>
      <c r="M45" s="8">
        <f t="shared" si="28"/>
        <v>-0.53474855543102162</v>
      </c>
      <c r="N45" s="8">
        <f t="shared" si="28"/>
        <v>-0.47714324148725673</v>
      </c>
      <c r="O45" s="8">
        <f t="shared" si="28"/>
        <v>-0.4105967183315018</v>
      </c>
      <c r="P45" s="8">
        <f t="shared" si="28"/>
        <v>-0.34775529158746821</v>
      </c>
      <c r="Q45" s="8">
        <f t="shared" si="28"/>
        <v>-0.29543744076836909</v>
      </c>
      <c r="R45" s="8">
        <f t="shared" si="28"/>
        <v>-0.2569008051855759</v>
      </c>
      <c r="S45" s="8">
        <f t="shared" si="28"/>
        <v>-0.23349060949859002</v>
      </c>
      <c r="T45" s="11">
        <f t="shared" ref="T45:T54" si="29">-(T6-S6)/$B$2</f>
        <v>-0.22565606858716336</v>
      </c>
    </row>
    <row r="46" spans="4:37" x14ac:dyDescent="0.25">
      <c r="E46" s="34">
        <v>1.5999999999999999</v>
      </c>
      <c r="F46" s="42">
        <f t="shared" si="27"/>
        <v>-0.24255214484941057</v>
      </c>
      <c r="G46" s="8">
        <f t="shared" si="28"/>
        <v>-0.28263742212329301</v>
      </c>
      <c r="H46" s="8">
        <f t="shared" si="28"/>
        <v>-0.40924062698127095</v>
      </c>
      <c r="I46" s="8">
        <f t="shared" si="28"/>
        <v>-0.63213442328832414</v>
      </c>
      <c r="J46" s="8">
        <f t="shared" si="28"/>
        <v>-0.92458304671970026</v>
      </c>
      <c r="K46" s="8">
        <f t="shared" si="28"/>
        <v>-1.1405449525173683</v>
      </c>
      <c r="L46" s="8">
        <f t="shared" si="28"/>
        <v>-1.1801889125885645</v>
      </c>
      <c r="M46" s="8">
        <f t="shared" si="28"/>
        <v>-1.0986956917989343</v>
      </c>
      <c r="N46" s="8">
        <f t="shared" si="28"/>
        <v>-0.96322770064447782</v>
      </c>
      <c r="O46" s="8">
        <f t="shared" si="28"/>
        <v>-0.81748833888848793</v>
      </c>
      <c r="P46" s="8">
        <f t="shared" si="28"/>
        <v>-0.68498699477316904</v>
      </c>
      <c r="Q46" s="8">
        <f t="shared" si="28"/>
        <v>-0.57709364390614581</v>
      </c>
      <c r="R46" s="8">
        <f t="shared" si="28"/>
        <v>-0.49867513828544929</v>
      </c>
      <c r="S46" s="8">
        <f t="shared" si="28"/>
        <v>-0.45140552747744644</v>
      </c>
      <c r="T46" s="11">
        <f t="shared" si="29"/>
        <v>-0.43564301516532566</v>
      </c>
    </row>
    <row r="47" spans="4:37" x14ac:dyDescent="0.25">
      <c r="E47" s="34">
        <v>1.4</v>
      </c>
      <c r="F47" s="42">
        <f t="shared" si="27"/>
        <v>-0.26321052795999833</v>
      </c>
      <c r="G47" s="8">
        <f t="shared" si="28"/>
        <v>-0.31658655548624015</v>
      </c>
      <c r="H47" s="8">
        <f t="shared" si="28"/>
        <v>-0.4978698022858552</v>
      </c>
      <c r="I47" s="8">
        <f t="shared" si="28"/>
        <v>-0.86884151664916587</v>
      </c>
      <c r="J47" s="8">
        <f t="shared" si="28"/>
        <v>-1.478618013041082</v>
      </c>
      <c r="K47" s="8">
        <f t="shared" si="28"/>
        <v>-1.9197241234235962</v>
      </c>
      <c r="L47" s="8">
        <f t="shared" si="28"/>
        <v>-1.9183597399013141</v>
      </c>
      <c r="M47" s="8">
        <f t="shared" si="28"/>
        <v>-1.7166176300466551</v>
      </c>
      <c r="N47" s="8">
        <f t="shared" si="28"/>
        <v>-1.4595835472949514</v>
      </c>
      <c r="O47" s="8">
        <f t="shared" si="28"/>
        <v>-1.2111419404800849</v>
      </c>
      <c r="P47" s="8">
        <f t="shared" si="28"/>
        <v>-0.99761068300189937</v>
      </c>
      <c r="Q47" s="8">
        <f t="shared" si="28"/>
        <v>-0.82927495865456002</v>
      </c>
      <c r="R47" s="8">
        <f t="shared" si="28"/>
        <v>-0.70930051841056718</v>
      </c>
      <c r="S47" s="8">
        <f t="shared" si="28"/>
        <v>-0.63781327525969767</v>
      </c>
      <c r="T47" s="11">
        <f t="shared" si="29"/>
        <v>-0.61410486416866306</v>
      </c>
    </row>
    <row r="48" spans="4:37" x14ac:dyDescent="0.25">
      <c r="E48" s="34">
        <v>1.2</v>
      </c>
      <c r="F48" s="42">
        <f t="shared" si="27"/>
        <v>-0.17711687309761359</v>
      </c>
      <c r="G48" s="8">
        <f t="shared" si="28"/>
        <v>-0.22262848745701169</v>
      </c>
      <c r="H48" s="8">
        <f t="shared" si="28"/>
        <v>-0.39681053325788973</v>
      </c>
      <c r="I48" s="8">
        <f t="shared" si="28"/>
        <v>-0.86674385870201154</v>
      </c>
      <c r="J48" s="8">
        <f t="shared" si="28"/>
        <v>-2.2013234100929902</v>
      </c>
      <c r="K48" s="8">
        <f t="shared" si="28"/>
        <v>-3.1413738415868195</v>
      </c>
      <c r="L48" s="8">
        <f t="shared" si="28"/>
        <v>-2.8569083498987324</v>
      </c>
      <c r="M48" s="8">
        <f t="shared" si="28"/>
        <v>-2.3898315862556117</v>
      </c>
      <c r="N48" s="8">
        <f t="shared" si="28"/>
        <v>-1.947346945594095</v>
      </c>
      <c r="O48" s="8">
        <f t="shared" si="28"/>
        <v>-1.569885194087457</v>
      </c>
      <c r="P48" s="8">
        <f t="shared" si="28"/>
        <v>-1.2650388099229359</v>
      </c>
      <c r="Q48" s="8">
        <f t="shared" si="28"/>
        <v>-1.0330949343507578</v>
      </c>
      <c r="R48" s="8">
        <f t="shared" si="28"/>
        <v>-0.8714386204182456</v>
      </c>
      <c r="S48" s="8">
        <f t="shared" si="28"/>
        <v>-0.77644209756033034</v>
      </c>
      <c r="T48" s="11">
        <f t="shared" si="29"/>
        <v>-0.7451497885326086</v>
      </c>
    </row>
    <row r="49" spans="4:20" x14ac:dyDescent="0.25">
      <c r="E49" s="34">
        <v>1</v>
      </c>
      <c r="F49" s="42">
        <f t="shared" si="27"/>
        <v>0</v>
      </c>
      <c r="G49" s="11">
        <f t="shared" si="28"/>
        <v>0</v>
      </c>
      <c r="H49" s="11">
        <f t="shared" si="28"/>
        <v>0</v>
      </c>
      <c r="I49" s="11">
        <f t="shared" si="28"/>
        <v>0</v>
      </c>
      <c r="J49" s="11">
        <f t="shared" si="28"/>
        <v>-3.3185579727081653</v>
      </c>
      <c r="K49" s="8">
        <f t="shared" si="28"/>
        <v>-5.5875395515061248</v>
      </c>
      <c r="L49" s="8">
        <f t="shared" si="28"/>
        <v>-3.9780683011902198</v>
      </c>
      <c r="M49" s="8">
        <f t="shared" si="28"/>
        <v>-3.0384534807303529</v>
      </c>
      <c r="N49" s="8">
        <f t="shared" si="28"/>
        <v>-2.3700874919520531</v>
      </c>
      <c r="O49" s="8">
        <f t="shared" si="28"/>
        <v>-1.8560130875718261</v>
      </c>
      <c r="P49" s="8">
        <f t="shared" si="28"/>
        <v>-1.4595644008798314</v>
      </c>
      <c r="Q49" s="8">
        <f t="shared" si="28"/>
        <v>-1.1666272852926673</v>
      </c>
      <c r="R49" s="8">
        <f t="shared" si="28"/>
        <v>-0.96691684263016331</v>
      </c>
      <c r="S49" s="8">
        <f t="shared" si="28"/>
        <v>-0.85136659489902788</v>
      </c>
      <c r="T49" s="11">
        <f t="shared" si="29"/>
        <v>-0.81360998127913309</v>
      </c>
    </row>
    <row r="50" spans="4:20" x14ac:dyDescent="0.25">
      <c r="E50" s="34">
        <v>0.8</v>
      </c>
      <c r="F50" s="7"/>
      <c r="G50" s="12"/>
      <c r="H50" s="12"/>
      <c r="I50" s="12"/>
      <c r="J50" s="12"/>
      <c r="K50" s="11">
        <f t="shared" ref="K50" si="30">-(L11-K11)/$B$2</f>
        <v>-5.0084557064001372</v>
      </c>
      <c r="L50" s="8">
        <f t="shared" si="28"/>
        <v>-4.429371908335602</v>
      </c>
      <c r="M50" s="8">
        <f t="shared" si="28"/>
        <v>-3.4158266150930618</v>
      </c>
      <c r="N50" s="8">
        <f t="shared" si="28"/>
        <v>-2.6385365037777295</v>
      </c>
      <c r="O50" s="8">
        <f t="shared" si="28"/>
        <v>-2.0245152784801967</v>
      </c>
      <c r="P50" s="8">
        <f t="shared" si="28"/>
        <v>-1.5505783974773069</v>
      </c>
      <c r="Q50" s="8">
        <f t="shared" si="28"/>
        <v>-1.2069329043610855</v>
      </c>
      <c r="R50" s="8">
        <f t="shared" si="28"/>
        <v>-0.97823477729871433</v>
      </c>
      <c r="S50" s="8">
        <f t="shared" si="28"/>
        <v>-0.8484973488655867</v>
      </c>
      <c r="T50" s="11">
        <f t="shared" si="29"/>
        <v>-0.8065568262212941</v>
      </c>
    </row>
    <row r="51" spans="4:20" x14ac:dyDescent="0.25">
      <c r="E51" s="34">
        <v>0.60000000000000009</v>
      </c>
      <c r="F51" s="7"/>
      <c r="G51" s="12"/>
      <c r="H51" s="12"/>
      <c r="I51" s="12"/>
      <c r="J51" s="12"/>
      <c r="K51" s="12"/>
      <c r="L51" s="11">
        <f t="shared" ref="L51" si="31">-(M12-L12)/$B$2</f>
        <v>-3.9931582556852718</v>
      </c>
      <c r="M51" s="8">
        <f t="shared" si="28"/>
        <v>-3.5569446513351881</v>
      </c>
      <c r="N51" s="8">
        <f t="shared" si="28"/>
        <v>-2.7437166874018679</v>
      </c>
      <c r="O51" s="8">
        <f t="shared" si="28"/>
        <v>-2.0529331505198738</v>
      </c>
      <c r="P51" s="8">
        <f t="shared" si="28"/>
        <v>-1.5113009926563969</v>
      </c>
      <c r="Q51" s="8">
        <f t="shared" si="28"/>
        <v>-1.1322911052138662</v>
      </c>
      <c r="R51" s="8">
        <f t="shared" si="28"/>
        <v>-0.8905919327893741</v>
      </c>
      <c r="S51" s="8">
        <f t="shared" si="28"/>
        <v>-0.75783109293107165</v>
      </c>
      <c r="T51" s="11">
        <f t="shared" si="29"/>
        <v>-0.71562251861944981</v>
      </c>
    </row>
    <row r="52" spans="4:20" x14ac:dyDescent="0.25">
      <c r="E52" s="34">
        <v>0.4</v>
      </c>
      <c r="F52" s="7"/>
      <c r="G52" s="12"/>
      <c r="H52" s="12"/>
      <c r="I52" s="12"/>
      <c r="J52" s="12"/>
      <c r="K52" s="12"/>
      <c r="L52" s="12"/>
      <c r="M52" s="11">
        <f t="shared" ref="M52" si="32">-(N13-M13)/$B$2</f>
        <v>-3.1416985601510459</v>
      </c>
      <c r="N52" s="8">
        <f t="shared" si="28"/>
        <v>-2.7264525115784246</v>
      </c>
      <c r="O52" s="8">
        <f t="shared" si="28"/>
        <v>-1.9321996767968119</v>
      </c>
      <c r="P52" s="8">
        <f t="shared" si="28"/>
        <v>-1.3094013143460375</v>
      </c>
      <c r="Q52" s="8">
        <f t="shared" si="28"/>
        <v>-0.92033855399943409</v>
      </c>
      <c r="R52" s="8">
        <f t="shared" si="28"/>
        <v>-0.69401068876231042</v>
      </c>
      <c r="S52" s="8">
        <f t="shared" si="28"/>
        <v>-0.57661248912823093</v>
      </c>
      <c r="T52" s="11">
        <f t="shared" si="29"/>
        <v>-0.54027097062645413</v>
      </c>
    </row>
    <row r="53" spans="4:20" x14ac:dyDescent="0.25">
      <c r="E53" s="34">
        <v>0.2</v>
      </c>
      <c r="F53" s="7"/>
      <c r="G53" s="12"/>
      <c r="H53" s="12"/>
      <c r="I53" s="12"/>
      <c r="J53" s="12"/>
      <c r="K53" s="12"/>
      <c r="L53" s="12"/>
      <c r="M53" s="12"/>
      <c r="N53" s="11">
        <f t="shared" ref="N53" si="33">-(O14-N14)/$B$2</f>
        <v>-2.1832321265666876</v>
      </c>
      <c r="O53" s="8">
        <f t="shared" si="28"/>
        <v>-1.6400117711802422</v>
      </c>
      <c r="P53" s="8">
        <f t="shared" si="28"/>
        <v>-0.87376604007496605</v>
      </c>
      <c r="Q53" s="8">
        <f t="shared" si="28"/>
        <v>-0.54565108458462686</v>
      </c>
      <c r="R53" s="8">
        <f t="shared" si="28"/>
        <v>-0.38849973507921937</v>
      </c>
      <c r="S53" s="8">
        <f t="shared" si="28"/>
        <v>-0.31433714423513087</v>
      </c>
      <c r="T53" s="11">
        <f t="shared" si="29"/>
        <v>-0.29223632312494141</v>
      </c>
    </row>
    <row r="54" spans="4:20" x14ac:dyDescent="0.25">
      <c r="E54" s="35">
        <v>0</v>
      </c>
      <c r="F54" s="7"/>
      <c r="G54" s="12"/>
      <c r="H54" s="12"/>
      <c r="I54" s="12"/>
      <c r="J54" s="12"/>
      <c r="K54" s="12"/>
      <c r="L54" s="12"/>
      <c r="M54" s="12"/>
      <c r="N54" s="12"/>
      <c r="O54" s="43">
        <f t="shared" ref="O54" si="34">-(P15-O15)/$B$2</f>
        <v>0</v>
      </c>
      <c r="P54" s="43">
        <f t="shared" si="28"/>
        <v>0</v>
      </c>
      <c r="Q54" s="43">
        <f t="shared" si="28"/>
        <v>0</v>
      </c>
      <c r="R54" s="43">
        <f t="shared" si="28"/>
        <v>0</v>
      </c>
      <c r="S54" s="43">
        <f t="shared" si="28"/>
        <v>0</v>
      </c>
      <c r="T54" s="43">
        <f t="shared" si="29"/>
        <v>0</v>
      </c>
    </row>
    <row r="55" spans="4:20" x14ac:dyDescent="0.25">
      <c r="E55" s="7"/>
      <c r="F55" s="37">
        <v>0</v>
      </c>
      <c r="G55" s="38">
        <v>0.2</v>
      </c>
      <c r="H55" s="38">
        <v>0.4</v>
      </c>
      <c r="I55" s="38">
        <v>0.60000000000000009</v>
      </c>
      <c r="J55" s="38">
        <v>0.8</v>
      </c>
      <c r="K55" s="38">
        <v>1</v>
      </c>
      <c r="L55" s="38">
        <v>1.2</v>
      </c>
      <c r="M55" s="38">
        <v>1.4</v>
      </c>
      <c r="N55" s="38">
        <v>1.5999999999999999</v>
      </c>
      <c r="O55" s="38">
        <v>1.7999999999999998</v>
      </c>
      <c r="P55" s="38">
        <v>1.9999999999999998</v>
      </c>
      <c r="Q55" s="38">
        <v>2.1999999999999997</v>
      </c>
      <c r="R55" s="38">
        <v>2.4</v>
      </c>
      <c r="S55" s="38">
        <v>2.6</v>
      </c>
      <c r="T55" s="39">
        <v>2.8000000000000003</v>
      </c>
    </row>
    <row r="56" spans="4:20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4:20" x14ac:dyDescent="0.25">
      <c r="D57" s="46" t="s">
        <v>17</v>
      </c>
      <c r="E57" s="33">
        <v>1.9999999999999998</v>
      </c>
      <c r="F57" s="42">
        <f>(F31^2+F44^2)^(0.5)</f>
        <v>10</v>
      </c>
      <c r="G57" s="11">
        <f t="shared" ref="G57:T57" si="35">(G31^2+G44^2)^(0.5)</f>
        <v>9.8582767768169077</v>
      </c>
      <c r="H57" s="11">
        <f t="shared" si="35"/>
        <v>9.6756592420690168</v>
      </c>
      <c r="I57" s="11">
        <f t="shared" si="35"/>
        <v>9.4096350150826691</v>
      </c>
      <c r="J57" s="11">
        <f t="shared" si="35"/>
        <v>9.023914181835373</v>
      </c>
      <c r="K57" s="11">
        <f t="shared" si="35"/>
        <v>8.5155653525675845</v>
      </c>
      <c r="L57" s="11">
        <f t="shared" si="35"/>
        <v>7.948546648058965</v>
      </c>
      <c r="M57" s="11">
        <f t="shared" si="35"/>
        <v>7.389254745107765</v>
      </c>
      <c r="N57" s="11">
        <f t="shared" si="35"/>
        <v>6.8790495371969218</v>
      </c>
      <c r="O57" s="11">
        <f t="shared" si="35"/>
        <v>6.4349682621332516</v>
      </c>
      <c r="P57" s="11">
        <f t="shared" si="35"/>
        <v>6.0578561005339182</v>
      </c>
      <c r="Q57" s="11">
        <f t="shared" si="35"/>
        <v>5.7394576789583152</v>
      </c>
      <c r="R57" s="11">
        <f t="shared" si="35"/>
        <v>5.46698121899718</v>
      </c>
      <c r="S57" s="11">
        <f t="shared" si="35"/>
        <v>5.2256560685871634</v>
      </c>
      <c r="T57" s="11">
        <f t="shared" si="35"/>
        <v>5</v>
      </c>
    </row>
    <row r="58" spans="4:20" x14ac:dyDescent="0.25">
      <c r="E58" s="34">
        <v>1.7999999999999998</v>
      </c>
      <c r="F58" s="42">
        <f t="shared" ref="F58:T67" si="36">(F32^2+F45^2)^(0.5)</f>
        <v>10.001004223176261</v>
      </c>
      <c r="G58" s="8">
        <f t="shared" si="36"/>
        <v>9.8800549426135511</v>
      </c>
      <c r="H58" s="8">
        <f t="shared" si="36"/>
        <v>9.7199514056147223</v>
      </c>
      <c r="I58" s="8">
        <f t="shared" si="36"/>
        <v>9.4750887534689507</v>
      </c>
      <c r="J58" s="8">
        <f t="shared" si="36"/>
        <v>9.0962195862502622</v>
      </c>
      <c r="K58" s="8">
        <f t="shared" si="36"/>
        <v>8.5618002885979863</v>
      </c>
      <c r="L58" s="8">
        <f t="shared" si="36"/>
        <v>7.9646176981314349</v>
      </c>
      <c r="M58" s="8">
        <f t="shared" si="36"/>
        <v>7.3840997527118111</v>
      </c>
      <c r="N58" s="8">
        <f t="shared" si="36"/>
        <v>6.8625950385913255</v>
      </c>
      <c r="O58" s="8">
        <f t="shared" si="36"/>
        <v>6.4146381399501058</v>
      </c>
      <c r="P58" s="8">
        <f t="shared" si="36"/>
        <v>6.0385210111582568</v>
      </c>
      <c r="Q58" s="8">
        <f t="shared" si="36"/>
        <v>5.724125888170974</v>
      </c>
      <c r="R58" s="8">
        <f t="shared" si="36"/>
        <v>5.4574554738189711</v>
      </c>
      <c r="S58" s="8">
        <f t="shared" si="36"/>
        <v>5.2230430928450353</v>
      </c>
      <c r="T58" s="11">
        <f t="shared" si="36"/>
        <v>5.0050894758525759</v>
      </c>
    </row>
    <row r="59" spans="4:20" x14ac:dyDescent="0.25">
      <c r="E59" s="34">
        <v>1.5999999999999999</v>
      </c>
      <c r="F59" s="42">
        <f t="shared" si="36"/>
        <v>10.002941144631965</v>
      </c>
      <c r="G59" s="8">
        <f t="shared" si="36"/>
        <v>9.9432741416457446</v>
      </c>
      <c r="H59" s="8">
        <f t="shared" si="36"/>
        <v>9.8540853820092469</v>
      </c>
      <c r="I59" s="8">
        <f t="shared" si="36"/>
        <v>9.6863560732540126</v>
      </c>
      <c r="J59" s="8">
        <f t="shared" si="36"/>
        <v>9.348448888177451</v>
      </c>
      <c r="K59" s="8">
        <f t="shared" si="36"/>
        <v>8.7091299368311645</v>
      </c>
      <c r="L59" s="8">
        <f t="shared" si="36"/>
        <v>8.0080176054466268</v>
      </c>
      <c r="M59" s="8">
        <f t="shared" si="36"/>
        <v>7.3613725485085402</v>
      </c>
      <c r="N59" s="8">
        <f t="shared" si="36"/>
        <v>6.8071989944022855</v>
      </c>
      <c r="O59" s="8">
        <f t="shared" si="36"/>
        <v>6.349326051538223</v>
      </c>
      <c r="P59" s="8">
        <f t="shared" si="36"/>
        <v>5.9775374151620744</v>
      </c>
      <c r="Q59" s="8">
        <f t="shared" si="36"/>
        <v>5.6760374316014843</v>
      </c>
      <c r="R59" s="8">
        <f t="shared" si="36"/>
        <v>5.4272811212616627</v>
      </c>
      <c r="S59" s="8">
        <f t="shared" si="36"/>
        <v>5.2138022636883603</v>
      </c>
      <c r="T59" s="11">
        <f t="shared" si="36"/>
        <v>5.0189426014512595</v>
      </c>
    </row>
    <row r="60" spans="4:20" x14ac:dyDescent="0.25">
      <c r="E60" s="34">
        <v>1.4</v>
      </c>
      <c r="F60" s="42">
        <f t="shared" si="36"/>
        <v>10.003463389348161</v>
      </c>
      <c r="G60" s="8">
        <f t="shared" si="36"/>
        <v>10.037711402920982</v>
      </c>
      <c r="H60" s="8">
        <f t="shared" si="36"/>
        <v>10.072321187571093</v>
      </c>
      <c r="I60" s="8">
        <f t="shared" si="36"/>
        <v>10.082652353945701</v>
      </c>
      <c r="J60" s="8">
        <f t="shared" si="36"/>
        <v>9.9360347497582087</v>
      </c>
      <c r="K60" s="8">
        <f t="shared" si="36"/>
        <v>8.9760965040567982</v>
      </c>
      <c r="L60" s="8">
        <f t="shared" si="36"/>
        <v>8.0563024599015645</v>
      </c>
      <c r="M60" s="8">
        <f t="shared" si="36"/>
        <v>7.2964932514816576</v>
      </c>
      <c r="N60" s="8">
        <f t="shared" si="36"/>
        <v>6.6944867851235514</v>
      </c>
      <c r="O60" s="8">
        <f t="shared" si="36"/>
        <v>6.2264966095995371</v>
      </c>
      <c r="P60" s="8">
        <f t="shared" si="36"/>
        <v>5.8664832582810504</v>
      </c>
      <c r="Q60" s="8">
        <f t="shared" si="36"/>
        <v>5.5893773975373859</v>
      </c>
      <c r="R60" s="8">
        <f t="shared" si="36"/>
        <v>5.3720686609664234</v>
      </c>
      <c r="S60" s="8">
        <f t="shared" si="36"/>
        <v>5.1940627885715793</v>
      </c>
      <c r="T60" s="11">
        <f t="shared" si="36"/>
        <v>5.0375713180257424</v>
      </c>
    </row>
    <row r="61" spans="4:20" x14ac:dyDescent="0.25">
      <c r="E61" s="34">
        <v>1.2</v>
      </c>
      <c r="F61" s="42">
        <f t="shared" si="36"/>
        <v>10.001568396343439</v>
      </c>
      <c r="G61" s="8">
        <f t="shared" si="36"/>
        <v>10.134050950559438</v>
      </c>
      <c r="H61" s="8">
        <f t="shared" si="36"/>
        <v>10.324215067313535</v>
      </c>
      <c r="I61" s="8">
        <f t="shared" si="36"/>
        <v>10.664754338519248</v>
      </c>
      <c r="J61" s="8">
        <f t="shared" si="36"/>
        <v>11.399983592652148</v>
      </c>
      <c r="K61" s="8">
        <f t="shared" si="36"/>
        <v>9.3340321942201481</v>
      </c>
      <c r="L61" s="8">
        <f t="shared" si="36"/>
        <v>8.0421654537658434</v>
      </c>
      <c r="M61" s="8">
        <f t="shared" si="36"/>
        <v>7.1415586772512292</v>
      </c>
      <c r="N61" s="8">
        <f t="shared" si="36"/>
        <v>6.4945985403076847</v>
      </c>
      <c r="O61" s="8">
        <f t="shared" si="36"/>
        <v>6.027358878736444</v>
      </c>
      <c r="P61" s="8">
        <f t="shared" si="36"/>
        <v>5.6932307773781634</v>
      </c>
      <c r="Q61" s="8">
        <f t="shared" si="36"/>
        <v>5.4560687760974238</v>
      </c>
      <c r="R61" s="8">
        <f t="shared" si="36"/>
        <v>5.2858815240107999</v>
      </c>
      <c r="S61" s="8">
        <f t="shared" si="36"/>
        <v>5.1585209594761317</v>
      </c>
      <c r="T61" s="11">
        <f t="shared" si="36"/>
        <v>5.0552198970321944</v>
      </c>
    </row>
    <row r="62" spans="4:20" x14ac:dyDescent="0.25">
      <c r="E62" s="34">
        <v>1</v>
      </c>
      <c r="F62" s="42">
        <f t="shared" si="36"/>
        <v>10</v>
      </c>
      <c r="G62" s="11">
        <f t="shared" si="36"/>
        <v>10.177116873097614</v>
      </c>
      <c r="H62" s="11">
        <f t="shared" si="36"/>
        <v>10.445256974914022</v>
      </c>
      <c r="I62" s="11">
        <f t="shared" si="36"/>
        <v>10.970737939613393</v>
      </c>
      <c r="J62" s="11">
        <f t="shared" si="36"/>
        <v>12.622782945883602</v>
      </c>
      <c r="K62" s="8">
        <f t="shared" si="36"/>
        <v>9.5029383867755968</v>
      </c>
      <c r="L62" s="8">
        <f t="shared" si="36"/>
        <v>7.8147985459584879</v>
      </c>
      <c r="M62" s="8">
        <f t="shared" si="36"/>
        <v>6.8275906171774077</v>
      </c>
      <c r="N62" s="8">
        <f t="shared" si="36"/>
        <v>6.1735954417528305</v>
      </c>
      <c r="O62" s="8">
        <f t="shared" si="36"/>
        <v>5.7318530539700259</v>
      </c>
      <c r="P62" s="8">
        <f t="shared" si="36"/>
        <v>5.4451560060075863</v>
      </c>
      <c r="Q62" s="8">
        <f t="shared" si="36"/>
        <v>5.2682940446468889</v>
      </c>
      <c r="R62" s="8">
        <f t="shared" si="36"/>
        <v>5.163397394434706</v>
      </c>
      <c r="S62" s="8">
        <f t="shared" si="36"/>
        <v>5.1022350958597364</v>
      </c>
      <c r="T62" s="11">
        <f t="shared" si="36"/>
        <v>5.0657636346001214</v>
      </c>
    </row>
    <row r="63" spans="4:20" x14ac:dyDescent="0.25">
      <c r="E63" s="34">
        <v>0.8</v>
      </c>
      <c r="F63" s="7"/>
      <c r="G63" s="7"/>
      <c r="H63" s="7"/>
      <c r="I63" s="7"/>
      <c r="J63" s="7"/>
      <c r="K63" s="11">
        <f t="shared" si="36"/>
        <v>8.3148022607799774</v>
      </c>
      <c r="L63" s="8">
        <f t="shared" si="36"/>
        <v>7.1302127417067886</v>
      </c>
      <c r="M63" s="8">
        <f t="shared" si="36"/>
        <v>6.3054239520266844</v>
      </c>
      <c r="N63" s="8">
        <f t="shared" si="36"/>
        <v>5.7146414034203055</v>
      </c>
      <c r="O63" s="8">
        <f t="shared" si="36"/>
        <v>5.3261858714141885</v>
      </c>
      <c r="P63" s="8">
        <f t="shared" si="36"/>
        <v>5.1129177299586175</v>
      </c>
      <c r="Q63" s="8">
        <f t="shared" si="36"/>
        <v>5.0218726970870167</v>
      </c>
      <c r="R63" s="8">
        <f t="shared" si="36"/>
        <v>5.0030327952118707</v>
      </c>
      <c r="S63" s="8">
        <f t="shared" si="36"/>
        <v>5.0231873171765278</v>
      </c>
      <c r="T63" s="11">
        <f t="shared" si="36"/>
        <v>5.0646356151182452</v>
      </c>
    </row>
    <row r="64" spans="4:20" x14ac:dyDescent="0.25">
      <c r="E64" s="34">
        <v>0.60000000000000009</v>
      </c>
      <c r="F64" s="7"/>
      <c r="G64" s="7"/>
      <c r="H64" s="7"/>
      <c r="I64" s="7"/>
      <c r="J64" s="7"/>
      <c r="K64" s="7"/>
      <c r="L64" s="11">
        <f t="shared" si="36"/>
        <v>6.4054618426714196</v>
      </c>
      <c r="M64" s="8">
        <f t="shared" si="36"/>
        <v>5.6807737813624097</v>
      </c>
      <c r="N64" s="8">
        <f t="shared" si="36"/>
        <v>5.1423308946378041</v>
      </c>
      <c r="O64" s="8">
        <f t="shared" si="36"/>
        <v>4.8023716908203617</v>
      </c>
      <c r="P64" s="8">
        <f t="shared" si="36"/>
        <v>4.6916028836131201</v>
      </c>
      <c r="Q64" s="8">
        <f t="shared" si="36"/>
        <v>4.7204457639010737</v>
      </c>
      <c r="R64" s="8">
        <f t="shared" si="36"/>
        <v>4.811260413896794</v>
      </c>
      <c r="S64" s="8">
        <f t="shared" si="36"/>
        <v>4.9255056315734089</v>
      </c>
      <c r="T64" s="11">
        <f t="shared" si="36"/>
        <v>5.0509519488068033</v>
      </c>
    </row>
    <row r="65" spans="5:20" x14ac:dyDescent="0.25">
      <c r="E65" s="34">
        <v>0.4</v>
      </c>
      <c r="F65" s="7"/>
      <c r="G65" s="7"/>
      <c r="H65" s="7"/>
      <c r="I65" s="7"/>
      <c r="J65" s="7"/>
      <c r="K65" s="7"/>
      <c r="L65" s="7"/>
      <c r="M65" s="11">
        <f t="shared" si="36"/>
        <v>5.0809037284525083</v>
      </c>
      <c r="N65" s="8">
        <f t="shared" si="36"/>
        <v>4.4816736327575555</v>
      </c>
      <c r="O65" s="8">
        <f t="shared" si="36"/>
        <v>4.1287116057415609</v>
      </c>
      <c r="P65" s="8">
        <f t="shared" si="36"/>
        <v>4.1802354124519088</v>
      </c>
      <c r="Q65" s="8">
        <f t="shared" si="36"/>
        <v>4.3839091627695588</v>
      </c>
      <c r="R65" s="8">
        <f t="shared" si="36"/>
        <v>4.6090561107114807</v>
      </c>
      <c r="S65" s="8">
        <f t="shared" si="36"/>
        <v>4.8229000562711164</v>
      </c>
      <c r="T65" s="11">
        <f t="shared" si="36"/>
        <v>5.0291045646020969</v>
      </c>
    </row>
    <row r="66" spans="5:20" x14ac:dyDescent="0.25">
      <c r="E66" s="34">
        <v>0.2</v>
      </c>
      <c r="F66" s="7"/>
      <c r="G66" s="7"/>
      <c r="H66" s="7"/>
      <c r="I66" s="7"/>
      <c r="J66" s="7"/>
      <c r="K66" s="7"/>
      <c r="L66" s="7"/>
      <c r="M66" s="7"/>
      <c r="N66" s="11">
        <f t="shared" si="36"/>
        <v>3.8258034922520596</v>
      </c>
      <c r="O66" s="8">
        <f t="shared" si="36"/>
        <v>3.1816948168392982</v>
      </c>
      <c r="P66" s="8">
        <f t="shared" si="36"/>
        <v>3.6103765852100027</v>
      </c>
      <c r="Q66" s="8">
        <f t="shared" si="36"/>
        <v>4.0725730454268714</v>
      </c>
      <c r="R66" s="8">
        <f t="shared" si="36"/>
        <v>4.4404154214997682</v>
      </c>
      <c r="S66" s="8">
        <f t="shared" si="36"/>
        <v>4.7402981095643169</v>
      </c>
      <c r="T66" s="11">
        <f t="shared" si="36"/>
        <v>5.0085329257731335</v>
      </c>
    </row>
    <row r="67" spans="5:20" x14ac:dyDescent="0.25">
      <c r="E67" s="35">
        <v>0</v>
      </c>
      <c r="F67" s="7"/>
      <c r="G67" s="7"/>
      <c r="H67" s="7"/>
      <c r="I67" s="7"/>
      <c r="J67" s="7"/>
      <c r="K67" s="7"/>
      <c r="L67" s="7"/>
      <c r="M67" s="7"/>
      <c r="N67" s="7"/>
      <c r="O67" s="43">
        <f t="shared" si="36"/>
        <v>2.1832321265666876</v>
      </c>
      <c r="P67" s="43">
        <f t="shared" si="36"/>
        <v>3.2800235423604844</v>
      </c>
      <c r="Q67" s="43">
        <f t="shared" si="36"/>
        <v>3.9307642067166197</v>
      </c>
      <c r="R67" s="43">
        <f t="shared" si="36"/>
        <v>4.3713257115297379</v>
      </c>
      <c r="S67" s="43">
        <f t="shared" si="36"/>
        <v>4.7077636768750581</v>
      </c>
      <c r="T67" s="43">
        <f t="shared" si="36"/>
        <v>5</v>
      </c>
    </row>
    <row r="68" spans="5:20" x14ac:dyDescent="0.25">
      <c r="E68" s="7"/>
      <c r="F68" s="37">
        <v>0</v>
      </c>
      <c r="G68" s="38">
        <v>0.2</v>
      </c>
      <c r="H68" s="38">
        <v>0.4</v>
      </c>
      <c r="I68" s="38">
        <v>0.60000000000000009</v>
      </c>
      <c r="J68" s="38">
        <v>0.8</v>
      </c>
      <c r="K68" s="38">
        <v>1</v>
      </c>
      <c r="L68" s="38">
        <v>1.2</v>
      </c>
      <c r="M68" s="38">
        <v>1.4</v>
      </c>
      <c r="N68" s="38">
        <v>1.5999999999999999</v>
      </c>
      <c r="O68" s="38">
        <v>1.7999999999999998</v>
      </c>
      <c r="P68" s="38">
        <v>1.9999999999999998</v>
      </c>
      <c r="Q68" s="38">
        <v>2.1999999999999997</v>
      </c>
      <c r="R68" s="38">
        <v>2.4</v>
      </c>
      <c r="S68" s="38">
        <v>2.6</v>
      </c>
      <c r="T68" s="39">
        <v>2.8000000000000003</v>
      </c>
    </row>
    <row r="119" spans="9:9" x14ac:dyDescent="0.25">
      <c r="I119" t="s">
        <v>20</v>
      </c>
    </row>
  </sheetData>
  <conditionalFormatting sqref="O28:T28 K24 M26 F18:T23 L24:T25 N26:T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Потенциальное течение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Администратор</cp:lastModifiedBy>
  <dcterms:created xsi:type="dcterms:W3CDTF">2021-11-15T14:44:54Z</dcterms:created>
  <dcterms:modified xsi:type="dcterms:W3CDTF">2021-11-15T15:41:08Z</dcterms:modified>
</cp:coreProperties>
</file>