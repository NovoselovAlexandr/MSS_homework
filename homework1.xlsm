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Администратор\Desktop\"/>
    </mc:Choice>
  </mc:AlternateContent>
  <bookViews>
    <workbookView xWindow="0" yWindow="0" windowWidth="15345" windowHeight="4650"/>
  </bookViews>
  <sheets>
    <sheet name="Лист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" l="1"/>
  <c r="G16" i="1" s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F16" i="1" l="1"/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3" i="1"/>
  <c r="G15" i="1"/>
  <c r="C5" i="1"/>
  <c r="C4" i="1"/>
  <c r="G12" i="1" l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</calcChain>
</file>

<file path=xl/sharedStrings.xml><?xml version="1.0" encoding="utf-8"?>
<sst xmlns="http://schemas.openxmlformats.org/spreadsheetml/2006/main" count="13" uniqueCount="12">
  <si>
    <t>L</t>
  </si>
  <si>
    <t>dx</t>
  </si>
  <si>
    <t>dt</t>
  </si>
  <si>
    <t>t</t>
  </si>
  <si>
    <t>Cp</t>
  </si>
  <si>
    <t>ro</t>
  </si>
  <si>
    <t>lambda</t>
  </si>
  <si>
    <t>T</t>
  </si>
  <si>
    <t>q</t>
  </si>
  <si>
    <t>q_start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</si>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</sst>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Лист1!$F$11:$AJ$11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xVal>
          <c:y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yVal>
          <c:smooth val="1"/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0.00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3703728"/>
        <c:axId val="223704288"/>
      </c:scatterChart>
      <c:valAx>
        <c:axId val="22370372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3704288"/>
        <c:crosses val="autoZero"/>
        <c:crossBetween val="midCat"/>
      </c:valAx>
      <c:valAx>
        <c:axId val="223704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3703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126999</xdr:colOff>
      <xdr:row>18</xdr:row>
      <xdr:rowOff>144461</xdr:rowOff>
    </xdr:from>
    <xdr:to>
      <xdr:col>14</xdr:col>
      <xdr:colOff>206374</xdr:colOff>
      <xdr:row>40</xdr:row>
      <xdr:rowOff>15875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5</xdr:col>
      <xdr:colOff>209550</xdr:colOff>
      <xdr:row>19</xdr:row>
      <xdr:rowOff>11112</xdr:rowOff>
    </xdr:from>
    <xdr:ext cx="457626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257550" y="3630612"/>
              <a:ext cx="457626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ru-RU" sz="1400" b="1" i="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257550" y="3630612"/>
              <a:ext cx="457626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𝑻,[𝑪]</a:t>
              </a:r>
              <a:endParaRPr lang="ru-RU" sz="1400" b="1" i="0"/>
            </a:p>
          </xdr:txBody>
        </xdr:sp>
      </mc:Fallback>
    </mc:AlternateContent>
    <xdr:clientData/>
  </xdr:oneCellAnchor>
  <xdr:oneCellAnchor>
    <xdr:from>
      <xdr:col>13</xdr:col>
      <xdr:colOff>241300</xdr:colOff>
      <xdr:row>38</xdr:row>
      <xdr:rowOff>74612</xdr:rowOff>
    </xdr:from>
    <xdr:ext cx="501099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8115300" y="7313612"/>
              <a:ext cx="5010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𝑳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𝒎</m:t>
                        </m:r>
                      </m:e>
                    </m:d>
                  </m:oMath>
                </m:oMathPara>
              </a14:m>
              <a:endParaRPr lang="ru-RU" sz="1100" b="1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8115300" y="7313612"/>
              <a:ext cx="501099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𝑳,[𝒎]</a:t>
              </a:r>
              <a:endParaRPr lang="ru-RU" sz="1100" b="1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6"/>
  <sheetViews>
    <sheetView tabSelected="1" zoomScale="60" zoomScaleNormal="60" workbookViewId="0">
      <selection activeCell="G7" sqref="G7"/>
    </sheetView>
  </sheetViews>
  <sheetFormatPr defaultRowHeight="15" x14ac:dyDescent="0.25"/>
  <cols>
    <col min="3" max="3" width="9.5703125" bestFit="1" customWidth="1"/>
    <col min="7" max="7" width="14.28515625" bestFit="1" customWidth="1"/>
    <col min="8" max="36" width="11.5703125" bestFit="1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f>(C9*C8*C4^2)/(2*C10)</f>
        <v>0.4333333333333334</v>
      </c>
    </row>
    <row r="6" spans="2:36" x14ac:dyDescent="0.25">
      <c r="B6" s="2" t="s">
        <v>3</v>
      </c>
      <c r="C6" s="2">
        <v>5000</v>
      </c>
      <c r="D6">
        <v>5000.2333333333345</v>
      </c>
    </row>
    <row r="7" spans="2:36" x14ac:dyDescent="0.25">
      <c r="B7" s="1"/>
      <c r="C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9</v>
      </c>
      <c r="C12" s="2">
        <v>92000</v>
      </c>
      <c r="E12" t="s">
        <v>0</v>
      </c>
      <c r="F12" s="4">
        <v>0</v>
      </c>
      <c r="G12" s="4">
        <f>F12+$C$4</f>
        <v>3.3333333333333335E-3</v>
      </c>
      <c r="H12" s="4">
        <f t="shared" ref="H12:AJ12" si="0">G12+$C$4</f>
        <v>6.6666666666666671E-3</v>
      </c>
      <c r="I12" s="4">
        <f t="shared" si="0"/>
        <v>0.01</v>
      </c>
      <c r="J12" s="4">
        <f t="shared" si="0"/>
        <v>1.3333333333333334E-2</v>
      </c>
      <c r="K12" s="4">
        <f t="shared" si="0"/>
        <v>1.6666666666666666E-2</v>
      </c>
      <c r="L12" s="4">
        <f t="shared" si="0"/>
        <v>0.02</v>
      </c>
      <c r="M12" s="4">
        <f t="shared" si="0"/>
        <v>2.3333333333333334E-2</v>
      </c>
      <c r="N12" s="4">
        <f t="shared" si="0"/>
        <v>2.6666666666666668E-2</v>
      </c>
      <c r="O12" s="4">
        <f t="shared" si="0"/>
        <v>3.0000000000000002E-2</v>
      </c>
      <c r="P12" s="4">
        <f t="shared" si="0"/>
        <v>3.3333333333333333E-2</v>
      </c>
      <c r="Q12" s="4">
        <f t="shared" si="0"/>
        <v>3.6666666666666667E-2</v>
      </c>
      <c r="R12" s="4">
        <f t="shared" si="0"/>
        <v>0.04</v>
      </c>
      <c r="S12" s="4">
        <f t="shared" si="0"/>
        <v>4.3333333333333335E-2</v>
      </c>
      <c r="T12" s="4">
        <f t="shared" si="0"/>
        <v>4.6666666666666669E-2</v>
      </c>
      <c r="U12" s="4">
        <f t="shared" si="0"/>
        <v>0.05</v>
      </c>
      <c r="V12" s="4">
        <f t="shared" si="0"/>
        <v>5.3333333333333337E-2</v>
      </c>
      <c r="W12" s="4">
        <f t="shared" si="0"/>
        <v>5.6666666666666671E-2</v>
      </c>
      <c r="X12" s="4">
        <f t="shared" si="0"/>
        <v>6.0000000000000005E-2</v>
      </c>
      <c r="Y12" s="4">
        <f t="shared" si="0"/>
        <v>6.3333333333333339E-2</v>
      </c>
      <c r="Z12" s="4">
        <f t="shared" si="0"/>
        <v>6.6666666666666666E-2</v>
      </c>
      <c r="AA12" s="4">
        <f t="shared" si="0"/>
        <v>6.9999999999999993E-2</v>
      </c>
      <c r="AB12" s="4">
        <f t="shared" si="0"/>
        <v>7.333333333333332E-2</v>
      </c>
      <c r="AC12" s="4">
        <f t="shared" si="0"/>
        <v>7.6666666666666647E-2</v>
      </c>
      <c r="AD12" s="4">
        <f t="shared" si="0"/>
        <v>7.9999999999999974E-2</v>
      </c>
      <c r="AE12" s="4">
        <f t="shared" si="0"/>
        <v>8.3333333333333301E-2</v>
      </c>
      <c r="AF12" s="4">
        <f t="shared" si="0"/>
        <v>8.6666666666666628E-2</v>
      </c>
      <c r="AG12" s="4">
        <f t="shared" si="0"/>
        <v>8.9999999999999955E-2</v>
      </c>
      <c r="AH12" s="4">
        <f t="shared" si="0"/>
        <v>9.3333333333333282E-2</v>
      </c>
      <c r="AI12" s="4">
        <f t="shared" si="0"/>
        <v>9.6666666666666609E-2</v>
      </c>
      <c r="AJ12" s="4">
        <f t="shared" si="0"/>
        <v>9.9999999999999936E-2</v>
      </c>
    </row>
    <row r="13" spans="2:36" x14ac:dyDescent="0.25">
      <c r="B13" s="2" t="s">
        <v>10</v>
      </c>
      <c r="C13" s="2">
        <v>100</v>
      </c>
      <c r="E13" t="s">
        <v>7</v>
      </c>
      <c r="F13" s="5">
        <f>(F16/C10)*C4+G13</f>
        <v>299.99997763108735</v>
      </c>
      <c r="G13" s="5">
        <v>293.33331096442066</v>
      </c>
      <c r="H13" s="5">
        <v>286.6666443611611</v>
      </c>
      <c r="I13" s="5">
        <v>279.99997782112894</v>
      </c>
      <c r="J13" s="5">
        <v>273.33331134396514</v>
      </c>
      <c r="K13" s="5">
        <v>266.66664492913264</v>
      </c>
      <c r="L13" s="5">
        <v>259.99997857591751</v>
      </c>
      <c r="M13" s="5">
        <v>253.3333122834313</v>
      </c>
      <c r="N13" s="5">
        <v>246.66664605061328</v>
      </c>
      <c r="O13" s="5">
        <v>239.99997987623377</v>
      </c>
      <c r="P13" s="5">
        <v>233.33331375889719</v>
      </c>
      <c r="Q13" s="5">
        <v>226.66664769704656</v>
      </c>
      <c r="R13" s="5">
        <v>219.9999816889673</v>
      </c>
      <c r="S13" s="5">
        <v>213.33331573279273</v>
      </c>
      <c r="T13" s="5">
        <v>206.66664982650872</v>
      </c>
      <c r="U13" s="5">
        <v>199.99998396796005</v>
      </c>
      <c r="V13" s="5">
        <v>193.33331815485587</v>
      </c>
      <c r="W13" s="5">
        <v>186.6666523847768</v>
      </c>
      <c r="X13" s="5">
        <v>179.99998665518126</v>
      </c>
      <c r="Y13" s="5">
        <v>173.33332096341309</v>
      </c>
      <c r="Z13" s="5">
        <v>166.66665530670878</v>
      </c>
      <c r="AA13" s="5">
        <v>159.9999896822055</v>
      </c>
      <c r="AB13" s="5">
        <v>153.33332408694912</v>
      </c>
      <c r="AC13" s="5">
        <v>146.66665851790265</v>
      </c>
      <c r="AD13" s="5">
        <v>139.99999297195473</v>
      </c>
      <c r="AE13" s="5">
        <v>133.33332744592857</v>
      </c>
      <c r="AF13" s="5">
        <v>126.66666193659087</v>
      </c>
      <c r="AG13" s="5">
        <v>119.99999644066111</v>
      </c>
      <c r="AH13" s="5">
        <v>113.3333309548207</v>
      </c>
      <c r="AI13" s="5">
        <v>106.66666547572241</v>
      </c>
      <c r="AJ13" s="5">
        <f>C13</f>
        <v>100</v>
      </c>
    </row>
    <row r="15" spans="2:36" x14ac:dyDescent="0.25">
      <c r="E15" t="s">
        <v>11</v>
      </c>
      <c r="G15" s="1">
        <f>G13+(($C$10*$C$5)/($C$9*$C$8))*((H13-2*G13+F13)/($C$4^2))</f>
        <v>293.33331099612423</v>
      </c>
      <c r="H15" s="1">
        <f t="shared" ref="H15:AI15" si="1">H13+(($C$10*$C$5)/($C$9*$C$8))*((I13-2*H13+G13)/($C$4^2))</f>
        <v>286.6666443927748</v>
      </c>
      <c r="I15" s="1">
        <f t="shared" si="1"/>
        <v>279.99997785256312</v>
      </c>
      <c r="J15" s="1">
        <f t="shared" si="1"/>
        <v>273.33331137513079</v>
      </c>
      <c r="K15" s="1">
        <f t="shared" si="1"/>
        <v>266.66664495994132</v>
      </c>
      <c r="L15" s="1">
        <f t="shared" si="1"/>
        <v>259.99997860628196</v>
      </c>
      <c r="M15" s="1">
        <f t="shared" si="1"/>
        <v>253.3333123132654</v>
      </c>
      <c r="N15" s="1">
        <f t="shared" si="1"/>
        <v>246.66664607983253</v>
      </c>
      <c r="O15" s="1">
        <f t="shared" si="1"/>
        <v>239.99997990475524</v>
      </c>
      <c r="P15" s="1">
        <f t="shared" si="1"/>
        <v>233.33331378664016</v>
      </c>
      <c r="Q15" s="1">
        <f t="shared" si="1"/>
        <v>226.66664772393224</v>
      </c>
      <c r="R15" s="1">
        <f t="shared" si="1"/>
        <v>219.99998171491964</v>
      </c>
      <c r="S15" s="1">
        <f t="shared" si="1"/>
        <v>213.33331575773801</v>
      </c>
      <c r="T15" s="1">
        <f t="shared" si="1"/>
        <v>206.66664985037639</v>
      </c>
      <c r="U15" s="1">
        <f t="shared" si="1"/>
        <v>199.9999839906823</v>
      </c>
      <c r="V15" s="1">
        <f t="shared" si="1"/>
        <v>193.33331817636844</v>
      </c>
      <c r="W15" s="1">
        <f t="shared" si="1"/>
        <v>186.66665240501857</v>
      </c>
      <c r="X15" s="1">
        <f t="shared" si="1"/>
        <v>179.99998667409494</v>
      </c>
      <c r="Y15" s="1">
        <f t="shared" si="1"/>
        <v>173.33332098094502</v>
      </c>
      <c r="Z15" s="1">
        <f t="shared" si="1"/>
        <v>166.66665532280928</v>
      </c>
      <c r="AA15" s="1">
        <f t="shared" si="1"/>
        <v>159.99998969682895</v>
      </c>
      <c r="AB15" s="1">
        <f t="shared" si="1"/>
        <v>153.33332410005409</v>
      </c>
      <c r="AC15" s="1">
        <f t="shared" si="1"/>
        <v>146.66665852945192</v>
      </c>
      <c r="AD15" s="1">
        <f t="shared" si="1"/>
        <v>139.99999298191563</v>
      </c>
      <c r="AE15" s="1">
        <f t="shared" si="1"/>
        <v>133.33332745427279</v>
      </c>
      <c r="AF15" s="1">
        <f t="shared" si="1"/>
        <v>126.66666194329484</v>
      </c>
      <c r="AG15" s="1">
        <f t="shared" si="1"/>
        <v>119.99999644570579</v>
      </c>
      <c r="AH15" s="1">
        <f t="shared" si="1"/>
        <v>113.33333095819177</v>
      </c>
      <c r="AI15" s="1">
        <f t="shared" si="1"/>
        <v>106.66666547741035</v>
      </c>
    </row>
    <row r="16" spans="2:36" x14ac:dyDescent="0.25">
      <c r="E16" t="s">
        <v>8</v>
      </c>
      <c r="F16">
        <f>C12</f>
        <v>92000</v>
      </c>
      <c r="G16">
        <f>-$C$10*((G13-F13)/$C$4)</f>
        <v>92000.000000000247</v>
      </c>
      <c r="H16">
        <f t="shared" ref="H16:AI16" si="2">-$C$10*((H13-G13)/$C$4)</f>
        <v>91999.999124981885</v>
      </c>
      <c r="I16">
        <f t="shared" si="2"/>
        <v>91999.998252443896</v>
      </c>
      <c r="J16">
        <f t="shared" si="2"/>
        <v>91999.997384860442</v>
      </c>
      <c r="K16">
        <f t="shared" si="2"/>
        <v>91999.996524688366</v>
      </c>
      <c r="L16">
        <f t="shared" si="2"/>
        <v>91999.995674368853</v>
      </c>
      <c r="M16">
        <f t="shared" si="2"/>
        <v>91999.994836309721</v>
      </c>
      <c r="N16">
        <f t="shared" si="2"/>
        <v>91999.994012888623</v>
      </c>
      <c r="O16">
        <f t="shared" si="2"/>
        <v>91999.993206437299</v>
      </c>
      <c r="P16">
        <f t="shared" si="2"/>
        <v>91999.992419244736</v>
      </c>
      <c r="Q16">
        <f t="shared" si="2"/>
        <v>91999.991653538746</v>
      </c>
      <c r="R16">
        <f t="shared" si="2"/>
        <v>91999.990911493791</v>
      </c>
      <c r="S16">
        <f t="shared" si="2"/>
        <v>91999.990195209044</v>
      </c>
      <c r="T16">
        <f t="shared" si="2"/>
        <v>91999.989506719328</v>
      </c>
      <c r="U16">
        <f t="shared" si="2"/>
        <v>91999.988847971617</v>
      </c>
      <c r="V16">
        <f t="shared" si="2"/>
        <v>91999.988220837593</v>
      </c>
      <c r="W16">
        <f t="shared" si="2"/>
        <v>91999.987627091265</v>
      </c>
      <c r="X16">
        <f t="shared" si="2"/>
        <v>91999.987068418384</v>
      </c>
      <c r="Y16">
        <f t="shared" si="2"/>
        <v>91999.986546400789</v>
      </c>
      <c r="Z16">
        <f t="shared" si="2"/>
        <v>91999.986062519471</v>
      </c>
      <c r="AA16">
        <f t="shared" si="2"/>
        <v>91999.985618145278</v>
      </c>
      <c r="AB16">
        <f t="shared" si="2"/>
        <v>91999.985214537985</v>
      </c>
      <c r="AC16">
        <f t="shared" si="2"/>
        <v>91999.984852841313</v>
      </c>
      <c r="AD16">
        <f t="shared" si="2"/>
        <v>91999.984534081304</v>
      </c>
      <c r="AE16">
        <f t="shared" si="2"/>
        <v>91999.984259160876</v>
      </c>
      <c r="AF16">
        <f t="shared" si="2"/>
        <v>91999.984028860315</v>
      </c>
      <c r="AG16">
        <f t="shared" si="2"/>
        <v>91999.98384383072</v>
      </c>
      <c r="AH16">
        <f t="shared" si="2"/>
        <v>91999.983704597675</v>
      </c>
      <c r="AI16">
        <f t="shared" si="2"/>
        <v>91999.983611556323</v>
      </c>
    </row>
  </sheetData>
  <conditionalFormatting sqref="F13:AJ13">
    <cfRule type="colorScale" priority="1">
      <colorScale>
        <cfvo type="min"/>
        <cfvo type="percentile" val="50"/>
        <cfvo type="max"/>
        <color theme="8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Администратор</dc:creator>
  <cp:lastModifiedBy>Администратор</cp:lastModifiedBy>
  <dcterms:created xsi:type="dcterms:W3CDTF">2021-09-15T19:02:23Z</dcterms:created>
  <dcterms:modified xsi:type="dcterms:W3CDTF">2021-09-15T20:41:07Z</dcterms:modified>
</cp:coreProperties>
</file>