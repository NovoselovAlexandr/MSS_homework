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Администратор\Desktop\"/>
    </mc:Choice>
  </mc:AlternateContent>
  <bookViews>
    <workbookView xWindow="0" yWindow="0" windowWidth="15345" windowHeight="4650"/>
  </bookViews>
  <sheets>
    <sheet name="Гр.Ус 1" sheetId="4" r:id="rId1"/>
    <sheet name="Гр.ус 2" sheetId="1" r:id="rId2"/>
    <sheet name="Гр.Ус 3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4" l="1"/>
  <c r="AH15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O15" i="4"/>
  <c r="N15" i="4"/>
  <c r="M15" i="4"/>
  <c r="L15" i="4"/>
  <c r="K15" i="4"/>
  <c r="J15" i="4"/>
  <c r="I15" i="4"/>
  <c r="H15" i="4"/>
  <c r="AJ13" i="4"/>
  <c r="AI15" i="4" s="1"/>
  <c r="H12" i="4"/>
  <c r="I12" i="4" s="1"/>
  <c r="J12" i="4" s="1"/>
  <c r="K12" i="4" s="1"/>
  <c r="L12" i="4" s="1"/>
  <c r="M12" i="4" s="1"/>
  <c r="N12" i="4" s="1"/>
  <c r="O12" i="4" s="1"/>
  <c r="P12" i="4" s="1"/>
  <c r="Q12" i="4" s="1"/>
  <c r="R12" i="4" s="1"/>
  <c r="S12" i="4" s="1"/>
  <c r="T12" i="4" s="1"/>
  <c r="U12" i="4" s="1"/>
  <c r="V12" i="4" s="1"/>
  <c r="W12" i="4" s="1"/>
  <c r="X12" i="4" s="1"/>
  <c r="Y12" i="4" s="1"/>
  <c r="Z12" i="4" s="1"/>
  <c r="AA12" i="4" s="1"/>
  <c r="AB12" i="4" s="1"/>
  <c r="AC12" i="4" s="1"/>
  <c r="AD12" i="4" s="1"/>
  <c r="AE12" i="4" s="1"/>
  <c r="AF12" i="4" s="1"/>
  <c r="AG12" i="4" s="1"/>
  <c r="AH12" i="4" s="1"/>
  <c r="AI12" i="4" s="1"/>
  <c r="AJ12" i="4" s="1"/>
  <c r="G12" i="4"/>
  <c r="C5" i="4"/>
  <c r="C4" i="4"/>
  <c r="G15" i="4" l="1"/>
  <c r="D12" i="3"/>
  <c r="F14" i="3" l="1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E14" i="3"/>
  <c r="E11" i="3"/>
  <c r="F11" i="3" s="1"/>
  <c r="G11" i="3" s="1"/>
  <c r="H11" i="3" s="1"/>
  <c r="I11" i="3" s="1"/>
  <c r="J11" i="3" s="1"/>
  <c r="K11" i="3" s="1"/>
  <c r="L11" i="3" s="1"/>
  <c r="M11" i="3" s="1"/>
  <c r="N11" i="3" s="1"/>
  <c r="O11" i="3" s="1"/>
  <c r="P11" i="3" s="1"/>
  <c r="Q11" i="3" s="1"/>
  <c r="R11" i="3" s="1"/>
  <c r="S11" i="3" s="1"/>
  <c r="T11" i="3" s="1"/>
  <c r="U11" i="3" s="1"/>
  <c r="V11" i="3" s="1"/>
  <c r="W11" i="3" s="1"/>
  <c r="X11" i="3" s="1"/>
  <c r="Y11" i="3" s="1"/>
  <c r="Z11" i="3" s="1"/>
  <c r="AA11" i="3" s="1"/>
  <c r="AB11" i="3" s="1"/>
  <c r="AC11" i="3" s="1"/>
  <c r="AD11" i="3" s="1"/>
  <c r="AE11" i="3" s="1"/>
  <c r="AF11" i="3" s="1"/>
  <c r="AG11" i="3" s="1"/>
  <c r="AH11" i="3" s="1"/>
  <c r="AH12" i="3"/>
  <c r="B2" i="3"/>
  <c r="B3" i="3" s="1"/>
  <c r="F13" i="1" l="1"/>
  <c r="G16" i="1" s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F16" i="1" l="1"/>
  <c r="H15" i="1" l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3" i="1"/>
  <c r="G15" i="1"/>
  <c r="C5" i="1"/>
  <c r="C4" i="1"/>
  <c r="G12" i="1" l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</calcChain>
</file>

<file path=xl/sharedStrings.xml><?xml version="1.0" encoding="utf-8"?>
<sst xmlns="http://schemas.openxmlformats.org/spreadsheetml/2006/main" count="38" uniqueCount="15">
  <si>
    <t>L</t>
  </si>
  <si>
    <t>dx</t>
  </si>
  <si>
    <t>dt</t>
  </si>
  <si>
    <t>t</t>
  </si>
  <si>
    <t>Cp</t>
  </si>
  <si>
    <t>ro</t>
  </si>
  <si>
    <t>lambda</t>
  </si>
  <si>
    <t>T</t>
  </si>
  <si>
    <t>q</t>
  </si>
  <si>
    <t>q_start</t>
  </si>
  <si>
    <t>T_end</t>
  </si>
  <si>
    <t>T_iter</t>
  </si>
  <si>
    <t>T_start</t>
  </si>
  <si>
    <t>k1</t>
  </si>
  <si>
    <t>Te1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</si>
</sst>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2" fontId="0" fillId="0" borderId="0" xfId="0" applyNumberFormat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'Гр.Ус 1'!$F$12:$AJ$12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'Гр.Ус 1'!$F$13:$AJ$13</c:f>
              <c:numCache>
                <c:formatCode>0.00</c:formatCode>
                <c:ptCount val="31"/>
                <c:pt idx="0">
                  <c:v>300</c:v>
                </c:pt>
                <c:pt idx="1">
                  <c:v>287.51358869097902</c:v>
                </c:pt>
                <c:pt idx="2">
                  <c:v>275.02717738195804</c:v>
                </c:pt>
                <c:pt idx="3">
                  <c:v>262.7988284329391</c:v>
                </c:pt>
                <c:pt idx="4">
                  <c:v>250.57047948392017</c:v>
                </c:pt>
                <c:pt idx="5">
                  <c:v>238.84633327570265</c:v>
                </c:pt>
                <c:pt idx="6">
                  <c:v>227.12218706748507</c:v>
                </c:pt>
                <c:pt idx="7">
                  <c:v>216.12517295193848</c:v>
                </c:pt>
                <c:pt idx="8">
                  <c:v>205.12815883639189</c:v>
                </c:pt>
                <c:pt idx="9">
                  <c:v>195.04792469785139</c:v>
                </c:pt>
                <c:pt idx="10">
                  <c:v>184.96769055931088</c:v>
                </c:pt>
                <c:pt idx="11">
                  <c:v>175.95224771642688</c:v>
                </c:pt>
                <c:pt idx="12">
                  <c:v>166.93680487354291</c:v>
                </c:pt>
                <c:pt idx="13">
                  <c:v>159.08626460201555</c:v>
                </c:pt>
                <c:pt idx="14">
                  <c:v>151.23572433048821</c:v>
                </c:pt>
                <c:pt idx="15">
                  <c:v>144.59836361834658</c:v>
                </c:pt>
                <c:pt idx="16">
                  <c:v>137.96100290620495</c:v>
                </c:pt>
                <c:pt idx="17">
                  <c:v>132.53175448776179</c:v>
                </c:pt>
                <c:pt idx="18">
                  <c:v>127.10250606931865</c:v>
                </c:pt>
                <c:pt idx="19">
                  <c:v>122.82383460138519</c:v>
                </c:pt>
                <c:pt idx="20">
                  <c:v>118.54516313345178</c:v>
                </c:pt>
                <c:pt idx="21">
                  <c:v>115.31017601502325</c:v>
                </c:pt>
                <c:pt idx="22">
                  <c:v>112.07518889659477</c:v>
                </c:pt>
                <c:pt idx="23">
                  <c:v>109.73274306633451</c:v>
                </c:pt>
                <c:pt idx="24">
                  <c:v>107.3902972360743</c:v>
                </c:pt>
                <c:pt idx="25">
                  <c:v>105.75180415643348</c:v>
                </c:pt>
                <c:pt idx="26">
                  <c:v>104.1133110767927</c:v>
                </c:pt>
                <c:pt idx="27">
                  <c:v>102.96090866158893</c:v>
                </c:pt>
                <c:pt idx="28">
                  <c:v>101.80850624638518</c:v>
                </c:pt>
                <c:pt idx="29">
                  <c:v>100.90425312319259</c:v>
                </c:pt>
                <c:pt idx="3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303792"/>
        <c:axId val="267303232"/>
      </c:scatterChart>
      <c:valAx>
        <c:axId val="26730379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7303232"/>
        <c:crosses val="autoZero"/>
        <c:crossBetween val="midCat"/>
      </c:valAx>
      <c:valAx>
        <c:axId val="267303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7303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'Гр.ус 2'!$F$11:$AJ$11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xVal>
          <c:yVal>
            <c:numRef>
              <c:f>'Гр.ус 2'!$F$12:$AJ$12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yVal>
          <c:smooth val="1"/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'Гр.ус 2'!$F$12:$AJ$12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'Гр.ус 2'!$F$13:$AJ$13</c:f>
              <c:numCache>
                <c:formatCode>0.00</c:formatCode>
                <c:ptCount val="31"/>
                <c:pt idx="0">
                  <c:v>299.99997763108735</c:v>
                </c:pt>
                <c:pt idx="1">
                  <c:v>293.33331096442066</c:v>
                </c:pt>
                <c:pt idx="2">
                  <c:v>286.6666443611611</c:v>
                </c:pt>
                <c:pt idx="3">
                  <c:v>279.99997782112894</c:v>
                </c:pt>
                <c:pt idx="4">
                  <c:v>273.33331134396514</c:v>
                </c:pt>
                <c:pt idx="5">
                  <c:v>266.66664492913264</c:v>
                </c:pt>
                <c:pt idx="6">
                  <c:v>259.99997857591751</c:v>
                </c:pt>
                <c:pt idx="7">
                  <c:v>253.3333122834313</c:v>
                </c:pt>
                <c:pt idx="8">
                  <c:v>246.66664605061328</c:v>
                </c:pt>
                <c:pt idx="9">
                  <c:v>239.99997987623377</c:v>
                </c:pt>
                <c:pt idx="10">
                  <c:v>233.33331375889719</c:v>
                </c:pt>
                <c:pt idx="11">
                  <c:v>226.66664769704656</c:v>
                </c:pt>
                <c:pt idx="12">
                  <c:v>219.9999816889673</c:v>
                </c:pt>
                <c:pt idx="13">
                  <c:v>213.33331573279273</c:v>
                </c:pt>
                <c:pt idx="14">
                  <c:v>206.66664982650872</c:v>
                </c:pt>
                <c:pt idx="15">
                  <c:v>199.99998396796005</c:v>
                </c:pt>
                <c:pt idx="16">
                  <c:v>193.33331815485587</c:v>
                </c:pt>
                <c:pt idx="17">
                  <c:v>186.6666523847768</c:v>
                </c:pt>
                <c:pt idx="18">
                  <c:v>179.99998665518126</c:v>
                </c:pt>
                <c:pt idx="19">
                  <c:v>173.33332096341309</c:v>
                </c:pt>
                <c:pt idx="20">
                  <c:v>166.66665530670878</c:v>
                </c:pt>
                <c:pt idx="21">
                  <c:v>159.9999896822055</c:v>
                </c:pt>
                <c:pt idx="22">
                  <c:v>153.33332408694912</c:v>
                </c:pt>
                <c:pt idx="23">
                  <c:v>146.66665851790265</c:v>
                </c:pt>
                <c:pt idx="24">
                  <c:v>139.99999297195473</c:v>
                </c:pt>
                <c:pt idx="25">
                  <c:v>133.33332744592857</c:v>
                </c:pt>
                <c:pt idx="26">
                  <c:v>126.66666193659087</c:v>
                </c:pt>
                <c:pt idx="27">
                  <c:v>119.99999644066111</c:v>
                </c:pt>
                <c:pt idx="28">
                  <c:v>113.3333309548207</c:v>
                </c:pt>
                <c:pt idx="29">
                  <c:v>106.66666547572241</c:v>
                </c:pt>
                <c:pt idx="3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000000"/>
        <c:axId val="141004480"/>
      </c:scatterChart>
      <c:valAx>
        <c:axId val="14100000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1004480"/>
        <c:crosses val="autoZero"/>
        <c:crossBetween val="midCat"/>
      </c:valAx>
      <c:valAx>
        <c:axId val="14100448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100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'Гр.Ус 3'!$D$11:$AH$11</c:f>
              <c:numCache>
                <c:formatCode>0.0000</c:formatCode>
                <c:ptCount val="3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</c:numCache>
            </c:numRef>
          </c:xVal>
          <c:yVal>
            <c:numRef>
              <c:f>'Гр.Ус 3'!$D$12:$AH$12</c:f>
              <c:numCache>
                <c:formatCode>0.00</c:formatCode>
                <c:ptCount val="31"/>
                <c:pt idx="0">
                  <c:v>-1.5504956484505958</c:v>
                </c:pt>
                <c:pt idx="1">
                  <c:v>-0.82842701008639774</c:v>
                </c:pt>
                <c:pt idx="2">
                  <c:v>-0.10663784787455594</c:v>
                </c:pt>
                <c:pt idx="3">
                  <c:v>0.61486609622091504</c:v>
                </c:pt>
                <c:pt idx="4">
                  <c:v>1.3360803874717733</c:v>
                </c:pt>
                <c:pt idx="5">
                  <c:v>2.0570017058191619</c:v>
                </c:pt>
                <c:pt idx="6">
                  <c:v>2.7776281743023108</c:v>
                </c:pt>
                <c:pt idx="7">
                  <c:v>3.4979589540620952</c:v>
                </c:pt>
                <c:pt idx="8">
                  <c:v>4.2179947552789869</c:v>
                </c:pt>
                <c:pt idx="9">
                  <c:v>4.9377372382803832</c:v>
                </c:pt>
                <c:pt idx="10">
                  <c:v>5.6571896839923212</c:v>
                </c:pt>
                <c:pt idx="11">
                  <c:v>6.3763562281375075</c:v>
                </c:pt>
                <c:pt idx="12">
                  <c:v>7.0952426606933567</c:v>
                </c:pt>
                <c:pt idx="13">
                  <c:v>7.8138555274028088</c:v>
                </c:pt>
                <c:pt idx="14">
                  <c:v>8.5322030216012479</c:v>
                </c:pt>
                <c:pt idx="15">
                  <c:v>9.2502939929577845</c:v>
                </c:pt>
                <c:pt idx="16">
                  <c:v>9.9681388905676584</c:v>
                </c:pt>
                <c:pt idx="17">
                  <c:v>10.685748722745561</c:v>
                </c:pt>
                <c:pt idx="18">
                  <c:v>11.40313600768499</c:v>
                </c:pt>
                <c:pt idx="19">
                  <c:v>12.120313730065948</c:v>
                </c:pt>
                <c:pt idx="20">
                  <c:v>12.837296254980487</c:v>
                </c:pt>
                <c:pt idx="21">
                  <c:v>13.554098327011701</c:v>
                </c:pt>
                <c:pt idx="22">
                  <c:v>14.270735904547006</c:v>
                </c:pt>
                <c:pt idx="23">
                  <c:v>14.98722524484287</c:v>
                </c:pt>
                <c:pt idx="24">
                  <c:v>15.703583619234021</c:v>
                </c:pt>
                <c:pt idx="25">
                  <c:v>16.419828523619408</c:v>
                </c:pt>
                <c:pt idx="26">
                  <c:v>17.135978240277218</c:v>
                </c:pt>
                <c:pt idx="27">
                  <c:v>17.852051207379727</c:v>
                </c:pt>
                <c:pt idx="28">
                  <c:v>18.568066399908794</c:v>
                </c:pt>
                <c:pt idx="29">
                  <c:v>19.284042884496557</c:v>
                </c:pt>
                <c:pt idx="30">
                  <c:v>20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546512"/>
        <c:axId val="142547072"/>
      </c:scatterChart>
      <c:valAx>
        <c:axId val="142546512"/>
        <c:scaling>
          <c:orientation val="minMax"/>
          <c:max val="0.4"/>
        </c:scaling>
        <c:delete val="0"/>
        <c:axPos val="b"/>
        <c:numFmt formatCode="0.00" sourceLinked="0"/>
        <c:majorTickMark val="none"/>
        <c:minorTickMark val="none"/>
        <c:tickLblPos val="nextTo"/>
        <c:spPr>
          <a:solidFill>
            <a:schemeClr val="bg1"/>
          </a:solidFill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2547072"/>
        <c:crosses val="autoZero"/>
        <c:crossBetween val="midCat"/>
        <c:majorUnit val="0.1"/>
      </c:valAx>
      <c:valAx>
        <c:axId val="14254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2546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381000</xdr:colOff>
      <xdr:row>20</xdr:row>
      <xdr:rowOff>103909</xdr:rowOff>
    </xdr:from>
    <xdr:ext cx="65" cy="219163"/>
    <xdr:sp macro="" textlink="">
      <xdr:nvSpPr>
        <xdr:cNvPr id="3" name="TextBox 2"/>
        <xdr:cNvSpPr txBox="1"/>
      </xdr:nvSpPr>
      <xdr:spPr>
        <a:xfrm>
          <a:off x="2805545" y="3913909"/>
          <a:ext cx="65" cy="21916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/>
          <a:endParaRPr lang="ru-RU" sz="1400" b="1" i="0"/>
        </a:p>
      </xdr:txBody>
    </xdr:sp>
    <xdr:clientData/>
  </xdr:oneCellAnchor>
  <xdr:oneCellAnchor>
    <xdr:from>
      <xdr:col>15</xdr:col>
      <xdr:colOff>51955</xdr:colOff>
      <xdr:row>40</xdr:row>
      <xdr:rowOff>0</xdr:rowOff>
    </xdr:from>
    <xdr:ext cx="65" cy="172227"/>
    <xdr:sp macro="" textlink="">
      <xdr:nvSpPr>
        <xdr:cNvPr id="5" name="TextBox 4"/>
        <xdr:cNvSpPr txBox="1"/>
      </xdr:nvSpPr>
      <xdr:spPr>
        <a:xfrm>
          <a:off x="9144000" y="7620000"/>
          <a:ext cx="65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/>
          <a:endParaRPr lang="ru-RU" sz="1100" b="1"/>
        </a:p>
      </xdr:txBody>
    </xdr:sp>
    <xdr:clientData/>
  </xdr:oneCellAnchor>
  <xdr:twoCellAnchor>
    <xdr:from>
      <xdr:col>6</xdr:col>
      <xdr:colOff>69272</xdr:colOff>
      <xdr:row>18</xdr:row>
      <xdr:rowOff>143741</xdr:rowOff>
    </xdr:from>
    <xdr:to>
      <xdr:col>18</xdr:col>
      <xdr:colOff>173180</xdr:colOff>
      <xdr:row>41</xdr:row>
      <xdr:rowOff>69273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6</xdr:col>
      <xdr:colOff>138545</xdr:colOff>
      <xdr:row>18</xdr:row>
      <xdr:rowOff>173182</xdr:rowOff>
    </xdr:from>
    <xdr:ext cx="457626" cy="21916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7" name="TextBox 6"/>
            <xdr:cNvSpPr txBox="1"/>
          </xdr:nvSpPr>
          <xdr:spPr>
            <a:xfrm>
              <a:off x="3775363" y="3602182"/>
              <a:ext cx="457626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,</m:t>
                    </m:r>
                    <m:d>
                      <m:dPr>
                        <m:begChr m:val="["/>
                        <m:endChr m:val="]"/>
                        <m:ctrlPr>
                          <a:rPr lang="en-US" sz="14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400" b="1" i="1">
                            <a:latin typeface="Cambria Math" panose="02040503050406030204" pitchFamily="18" charset="0"/>
                          </a:rPr>
                          <m:t>𝑪</m:t>
                        </m:r>
                      </m:e>
                    </m:d>
                  </m:oMath>
                </m:oMathPara>
              </a14:m>
              <a:endParaRPr lang="ru-RU" sz="1400" b="1" i="0"/>
            </a:p>
          </xdr:txBody>
        </xdr:sp>
      </mc:Choice>
      <mc:Fallback>
        <xdr:sp macro="" textlink="">
          <xdr:nvSpPr>
            <xdr:cNvPr id="7" name="TextBox 6"/>
            <xdr:cNvSpPr txBox="1"/>
          </xdr:nvSpPr>
          <xdr:spPr>
            <a:xfrm>
              <a:off x="3775363" y="3602182"/>
              <a:ext cx="457626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400" b="1" i="0">
                  <a:latin typeface="Cambria Math" panose="02040503050406030204" pitchFamily="18" charset="0"/>
                </a:rPr>
                <a:t>𝑻,[𝑪]</a:t>
              </a:r>
              <a:endParaRPr lang="ru-RU" sz="1400" b="1" i="0"/>
            </a:p>
          </xdr:txBody>
        </xdr:sp>
      </mc:Fallback>
    </mc:AlternateContent>
    <xdr:clientData/>
  </xdr:oneCellAnchor>
  <xdr:oneCellAnchor>
    <xdr:from>
      <xdr:col>17</xdr:col>
      <xdr:colOff>225137</xdr:colOff>
      <xdr:row>39</xdr:row>
      <xdr:rowOff>155863</xdr:rowOff>
    </xdr:from>
    <xdr:ext cx="501099" cy="21916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8" name="TextBox 7"/>
            <xdr:cNvSpPr txBox="1"/>
          </xdr:nvSpPr>
          <xdr:spPr>
            <a:xfrm>
              <a:off x="10529455" y="7585363"/>
              <a:ext cx="501099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1">
                        <a:latin typeface="Cambria Math" panose="02040503050406030204" pitchFamily="18" charset="0"/>
                      </a:rPr>
                      <m:t>𝑳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,</m:t>
                    </m:r>
                    <m:d>
                      <m:dPr>
                        <m:begChr m:val="["/>
                        <m:endChr m:val="]"/>
                        <m:ctrlPr>
                          <a:rPr lang="en-US" sz="14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400" b="1" i="1">
                            <a:latin typeface="Cambria Math" panose="02040503050406030204" pitchFamily="18" charset="0"/>
                          </a:rPr>
                          <m:t>𝒎</m:t>
                        </m:r>
                      </m:e>
                    </m:d>
                  </m:oMath>
                </m:oMathPara>
              </a14:m>
              <a:endParaRPr lang="ru-RU" sz="1100" b="1"/>
            </a:p>
          </xdr:txBody>
        </xdr:sp>
      </mc:Choice>
      <mc:Fallback>
        <xdr:sp macro="" textlink="">
          <xdr:nvSpPr>
            <xdr:cNvPr id="8" name="TextBox 7"/>
            <xdr:cNvSpPr txBox="1"/>
          </xdr:nvSpPr>
          <xdr:spPr>
            <a:xfrm>
              <a:off x="10529455" y="7585363"/>
              <a:ext cx="501099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400" b="1" i="0">
                  <a:latin typeface="Cambria Math" panose="02040503050406030204" pitchFamily="18" charset="0"/>
                </a:rPr>
                <a:t>𝑳,[𝒎]</a:t>
              </a:r>
              <a:endParaRPr lang="ru-RU" sz="1100" b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63499</xdr:colOff>
      <xdr:row>18</xdr:row>
      <xdr:rowOff>144461</xdr:rowOff>
    </xdr:from>
    <xdr:to>
      <xdr:col>14</xdr:col>
      <xdr:colOff>142874</xdr:colOff>
      <xdr:row>40</xdr:row>
      <xdr:rowOff>15875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130175</xdr:colOff>
      <xdr:row>19</xdr:row>
      <xdr:rowOff>11112</xdr:rowOff>
    </xdr:from>
    <xdr:ext cx="457626" cy="21916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/>
            <xdr:cNvSpPr txBox="1"/>
          </xdr:nvSpPr>
          <xdr:spPr>
            <a:xfrm>
              <a:off x="3178175" y="3630612"/>
              <a:ext cx="457626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,</m:t>
                    </m:r>
                    <m:d>
                      <m:dPr>
                        <m:begChr m:val="["/>
                        <m:endChr m:val="]"/>
                        <m:ctrlPr>
                          <a:rPr lang="en-US" sz="14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400" b="1" i="1">
                            <a:latin typeface="Cambria Math" panose="02040503050406030204" pitchFamily="18" charset="0"/>
                          </a:rPr>
                          <m:t>𝑪</m:t>
                        </m:r>
                      </m:e>
                    </m:d>
                  </m:oMath>
                </m:oMathPara>
              </a14:m>
              <a:endParaRPr lang="ru-RU" sz="1400" b="1" i="0"/>
            </a:p>
          </xdr:txBody>
        </xdr:sp>
      </mc:Choice>
      <mc:Fallback>
        <xdr:sp macro="" textlink="">
          <xdr:nvSpPr>
            <xdr:cNvPr id="3" name="TextBox 2"/>
            <xdr:cNvSpPr txBox="1"/>
          </xdr:nvSpPr>
          <xdr:spPr>
            <a:xfrm>
              <a:off x="3178175" y="3630612"/>
              <a:ext cx="457626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400" b="1" i="0">
                  <a:latin typeface="Cambria Math" panose="02040503050406030204" pitchFamily="18" charset="0"/>
                </a:rPr>
                <a:t>𝑻,[𝑪]</a:t>
              </a:r>
              <a:endParaRPr lang="ru-RU" sz="1400" b="1" i="0"/>
            </a:p>
          </xdr:txBody>
        </xdr:sp>
      </mc:Fallback>
    </mc:AlternateContent>
    <xdr:clientData/>
  </xdr:oneCellAnchor>
  <xdr:oneCellAnchor>
    <xdr:from>
      <xdr:col>13</xdr:col>
      <xdr:colOff>241300</xdr:colOff>
      <xdr:row>38</xdr:row>
      <xdr:rowOff>74612</xdr:rowOff>
    </xdr:from>
    <xdr:ext cx="501099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8115300" y="7313612"/>
              <a:ext cx="501099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1">
                        <a:latin typeface="Cambria Math" panose="02040503050406030204" pitchFamily="18" charset="0"/>
                      </a:rPr>
                      <m:t>𝑳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,</m:t>
                    </m:r>
                    <m:d>
                      <m:dPr>
                        <m:begChr m:val="["/>
                        <m:endChr m:val="]"/>
                        <m:ctrlPr>
                          <a:rPr lang="en-US" sz="14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400" b="1" i="1">
                            <a:latin typeface="Cambria Math" panose="02040503050406030204" pitchFamily="18" charset="0"/>
                          </a:rPr>
                          <m:t>𝒎</m:t>
                        </m:r>
                      </m:e>
                    </m:d>
                  </m:oMath>
                </m:oMathPara>
              </a14:m>
              <a:endParaRPr lang="ru-RU" sz="1100" b="1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8115300" y="7313612"/>
              <a:ext cx="501099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1" i="0">
                  <a:latin typeface="Cambria Math" panose="02040503050406030204" pitchFamily="18" charset="0"/>
                </a:rPr>
                <a:t>𝑳,[𝒎]</a:t>
              </a:r>
              <a:endParaRPr lang="ru-RU" sz="1100" b="1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13856</xdr:colOff>
      <xdr:row>16</xdr:row>
      <xdr:rowOff>169718</xdr:rowOff>
    </xdr:from>
    <xdr:ext cx="65" cy="219163"/>
    <xdr:sp macro="" textlink="">
      <xdr:nvSpPr>
        <xdr:cNvPr id="3" name="TextBox 2"/>
        <xdr:cNvSpPr txBox="1"/>
      </xdr:nvSpPr>
      <xdr:spPr>
        <a:xfrm>
          <a:off x="1842656" y="3217718"/>
          <a:ext cx="65" cy="21916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/>
          <a:endParaRPr lang="ru-RU" sz="1400" b="1" i="0"/>
        </a:p>
      </xdr:txBody>
    </xdr:sp>
    <xdr:clientData/>
  </xdr:oneCellAnchor>
  <xdr:oneCellAnchor>
    <xdr:from>
      <xdr:col>0</xdr:col>
      <xdr:colOff>554182</xdr:colOff>
      <xdr:row>25</xdr:row>
      <xdr:rowOff>0</xdr:rowOff>
    </xdr:from>
    <xdr:ext cx="65" cy="172227"/>
    <xdr:sp macro="" textlink="">
      <xdr:nvSpPr>
        <xdr:cNvPr id="4" name="TextBox 3"/>
        <xdr:cNvSpPr txBox="1"/>
      </xdr:nvSpPr>
      <xdr:spPr>
        <a:xfrm>
          <a:off x="554182" y="4762500"/>
          <a:ext cx="65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/>
          <a:endParaRPr lang="ru-RU" sz="1100" b="1"/>
        </a:p>
      </xdr:txBody>
    </xdr:sp>
    <xdr:clientData/>
  </xdr:oneCellAnchor>
  <xdr:twoCellAnchor>
    <xdr:from>
      <xdr:col>4</xdr:col>
      <xdr:colOff>190500</xdr:colOff>
      <xdr:row>15</xdr:row>
      <xdr:rowOff>142875</xdr:rowOff>
    </xdr:from>
    <xdr:to>
      <xdr:col>12</xdr:col>
      <xdr:colOff>336176</xdr:colOff>
      <xdr:row>34</xdr:row>
      <xdr:rowOff>44824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4</xdr:col>
      <xdr:colOff>228599</xdr:colOff>
      <xdr:row>16</xdr:row>
      <xdr:rowOff>9527</xdr:rowOff>
    </xdr:from>
    <xdr:ext cx="354107" cy="187872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6" name="TextBox 5"/>
            <xdr:cNvSpPr txBox="1"/>
          </xdr:nvSpPr>
          <xdr:spPr>
            <a:xfrm>
              <a:off x="2649070" y="3057527"/>
              <a:ext cx="354107" cy="18787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2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200" b="1" i="1">
                        <a:latin typeface="Cambria Math" panose="02040503050406030204" pitchFamily="18" charset="0"/>
                      </a:rPr>
                      <m:t>,</m:t>
                    </m:r>
                    <m:d>
                      <m:dPr>
                        <m:begChr m:val="["/>
                        <m:endChr m:val="]"/>
                        <m:ctrlPr>
                          <a:rPr lang="en-US" sz="12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200" b="1" i="1">
                            <a:latin typeface="Cambria Math" panose="02040503050406030204" pitchFamily="18" charset="0"/>
                          </a:rPr>
                          <m:t>𝑪</m:t>
                        </m:r>
                      </m:e>
                    </m:d>
                  </m:oMath>
                </m:oMathPara>
              </a14:m>
              <a:endParaRPr lang="ru-RU" sz="1200" b="1" i="0"/>
            </a:p>
          </xdr:txBody>
        </xdr:sp>
      </mc:Choice>
      <mc:Fallback>
        <xdr:sp macro="" textlink="">
          <xdr:nvSpPr>
            <xdr:cNvPr id="6" name="TextBox 5"/>
            <xdr:cNvSpPr txBox="1"/>
          </xdr:nvSpPr>
          <xdr:spPr>
            <a:xfrm>
              <a:off x="2649070" y="3057527"/>
              <a:ext cx="354107" cy="18787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200" b="1" i="0">
                  <a:latin typeface="Cambria Math" panose="02040503050406030204" pitchFamily="18" charset="0"/>
                </a:rPr>
                <a:t>𝑻,[𝑪]</a:t>
              </a:r>
              <a:endParaRPr lang="ru-RU" sz="1200" b="1" i="0"/>
            </a:p>
          </xdr:txBody>
        </xdr:sp>
      </mc:Fallback>
    </mc:AlternateContent>
    <xdr:clientData/>
  </xdr:oneCellAnchor>
  <xdr:oneCellAnchor>
    <xdr:from>
      <xdr:col>11</xdr:col>
      <xdr:colOff>417419</xdr:colOff>
      <xdr:row>30</xdr:row>
      <xdr:rowOff>170890</xdr:rowOff>
    </xdr:from>
    <xdr:ext cx="501099" cy="21916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7" name="TextBox 6"/>
            <xdr:cNvSpPr txBox="1"/>
          </xdr:nvSpPr>
          <xdr:spPr>
            <a:xfrm>
              <a:off x="7073713" y="5885890"/>
              <a:ext cx="501099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1">
                        <a:latin typeface="Cambria Math" panose="02040503050406030204" pitchFamily="18" charset="0"/>
                      </a:rPr>
                      <m:t>𝑳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,</m:t>
                    </m:r>
                    <m:d>
                      <m:dPr>
                        <m:begChr m:val="["/>
                        <m:endChr m:val="]"/>
                        <m:ctrlPr>
                          <a:rPr lang="en-US" sz="14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400" b="1" i="1">
                            <a:latin typeface="Cambria Math" panose="02040503050406030204" pitchFamily="18" charset="0"/>
                          </a:rPr>
                          <m:t>𝒎</m:t>
                        </m:r>
                      </m:e>
                    </m:d>
                  </m:oMath>
                </m:oMathPara>
              </a14:m>
              <a:endParaRPr lang="ru-RU" sz="1100" b="1"/>
            </a:p>
          </xdr:txBody>
        </xdr:sp>
      </mc:Choice>
      <mc:Fallback>
        <xdr:sp macro="" textlink="">
          <xdr:nvSpPr>
            <xdr:cNvPr id="7" name="TextBox 6"/>
            <xdr:cNvSpPr txBox="1"/>
          </xdr:nvSpPr>
          <xdr:spPr>
            <a:xfrm>
              <a:off x="7073713" y="5885890"/>
              <a:ext cx="501099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400" b="1" i="0">
                  <a:latin typeface="Cambria Math" panose="02040503050406030204" pitchFamily="18" charset="0"/>
                </a:rPr>
                <a:t>𝑳,[𝒎]</a:t>
              </a:r>
              <a:endParaRPr lang="ru-RU" sz="1100" b="1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AJ15"/>
  <sheetViews>
    <sheetView tabSelected="1" zoomScale="55" zoomScaleNormal="55" workbookViewId="0">
      <selection activeCell="X28" sqref="X28"/>
    </sheetView>
  </sheetViews>
  <sheetFormatPr defaultRowHeight="15" x14ac:dyDescent="0.25"/>
  <sheetData>
    <row r="3" spans="2:36" x14ac:dyDescent="0.25">
      <c r="B3" s="2" t="s">
        <v>0</v>
      </c>
      <c r="C3" s="2">
        <v>0.1</v>
      </c>
    </row>
    <row r="4" spans="2:36" x14ac:dyDescent="0.25">
      <c r="B4" s="2" t="s">
        <v>1</v>
      </c>
      <c r="C4" s="3">
        <f>C3/30</f>
        <v>3.3333333333333335E-3</v>
      </c>
    </row>
    <row r="5" spans="2:36" x14ac:dyDescent="0.25">
      <c r="B5" s="2" t="s">
        <v>2</v>
      </c>
      <c r="C5" s="3">
        <f>(C9*C8*C4^2)/(2*C10)</f>
        <v>0.4333333333333334</v>
      </c>
    </row>
    <row r="6" spans="2:36" x14ac:dyDescent="0.25">
      <c r="B6" s="2" t="s">
        <v>3</v>
      </c>
      <c r="C6" s="2">
        <v>120</v>
      </c>
      <c r="D6">
        <v>120.03333333333336</v>
      </c>
    </row>
    <row r="7" spans="2:36" x14ac:dyDescent="0.25">
      <c r="B7" s="1"/>
      <c r="C7" s="1"/>
    </row>
    <row r="8" spans="2:36" x14ac:dyDescent="0.25">
      <c r="B8" s="2" t="s">
        <v>4</v>
      </c>
      <c r="C8" s="2">
        <v>460</v>
      </c>
    </row>
    <row r="9" spans="2:36" x14ac:dyDescent="0.25">
      <c r="B9" s="2" t="s">
        <v>5</v>
      </c>
      <c r="C9" s="2">
        <v>7800</v>
      </c>
    </row>
    <row r="10" spans="2:36" x14ac:dyDescent="0.25">
      <c r="B10" s="2" t="s">
        <v>6</v>
      </c>
      <c r="C10" s="2">
        <v>46</v>
      </c>
    </row>
    <row r="11" spans="2:36" x14ac:dyDescent="0.25">
      <c r="B11" s="1"/>
      <c r="C11" s="1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25">
      <c r="B12" s="2" t="s">
        <v>12</v>
      </c>
      <c r="C12" s="2">
        <v>300</v>
      </c>
      <c r="E12" t="s">
        <v>0</v>
      </c>
      <c r="F12" s="4">
        <v>0</v>
      </c>
      <c r="G12" s="4">
        <f>F12+$C$4</f>
        <v>3.3333333333333335E-3</v>
      </c>
      <c r="H12" s="4">
        <f t="shared" ref="H12:AJ12" si="0">G12+$C$4</f>
        <v>6.6666666666666671E-3</v>
      </c>
      <c r="I12" s="4">
        <f t="shared" si="0"/>
        <v>0.01</v>
      </c>
      <c r="J12" s="4">
        <f t="shared" si="0"/>
        <v>1.3333333333333334E-2</v>
      </c>
      <c r="K12" s="4">
        <f t="shared" si="0"/>
        <v>1.6666666666666666E-2</v>
      </c>
      <c r="L12" s="4">
        <f t="shared" si="0"/>
        <v>0.02</v>
      </c>
      <c r="M12" s="4">
        <f t="shared" si="0"/>
        <v>2.3333333333333334E-2</v>
      </c>
      <c r="N12" s="4">
        <f t="shared" si="0"/>
        <v>2.6666666666666668E-2</v>
      </c>
      <c r="O12" s="4">
        <f t="shared" si="0"/>
        <v>3.0000000000000002E-2</v>
      </c>
      <c r="P12" s="4">
        <f t="shared" si="0"/>
        <v>3.3333333333333333E-2</v>
      </c>
      <c r="Q12" s="4">
        <f t="shared" si="0"/>
        <v>3.6666666666666667E-2</v>
      </c>
      <c r="R12" s="4">
        <f t="shared" si="0"/>
        <v>0.04</v>
      </c>
      <c r="S12" s="4">
        <f t="shared" si="0"/>
        <v>4.3333333333333335E-2</v>
      </c>
      <c r="T12" s="4">
        <f t="shared" si="0"/>
        <v>4.6666666666666669E-2</v>
      </c>
      <c r="U12" s="4">
        <f t="shared" si="0"/>
        <v>0.05</v>
      </c>
      <c r="V12" s="4">
        <f t="shared" si="0"/>
        <v>5.3333333333333337E-2</v>
      </c>
      <c r="W12" s="4">
        <f t="shared" si="0"/>
        <v>5.6666666666666671E-2</v>
      </c>
      <c r="X12" s="4">
        <f t="shared" si="0"/>
        <v>6.0000000000000005E-2</v>
      </c>
      <c r="Y12" s="4">
        <f t="shared" si="0"/>
        <v>6.3333333333333339E-2</v>
      </c>
      <c r="Z12" s="4">
        <f t="shared" si="0"/>
        <v>6.6666666666666666E-2</v>
      </c>
      <c r="AA12" s="4">
        <f t="shared" si="0"/>
        <v>6.9999999999999993E-2</v>
      </c>
      <c r="AB12" s="4">
        <f t="shared" si="0"/>
        <v>7.333333333333332E-2</v>
      </c>
      <c r="AC12" s="4">
        <f t="shared" si="0"/>
        <v>7.6666666666666647E-2</v>
      </c>
      <c r="AD12" s="4">
        <f t="shared" si="0"/>
        <v>7.9999999999999974E-2</v>
      </c>
      <c r="AE12" s="4">
        <f t="shared" si="0"/>
        <v>8.3333333333333301E-2</v>
      </c>
      <c r="AF12" s="4">
        <f t="shared" si="0"/>
        <v>8.6666666666666628E-2</v>
      </c>
      <c r="AG12" s="4">
        <f t="shared" si="0"/>
        <v>8.9999999999999955E-2</v>
      </c>
      <c r="AH12" s="4">
        <f t="shared" si="0"/>
        <v>9.3333333333333282E-2</v>
      </c>
      <c r="AI12" s="4">
        <f t="shared" si="0"/>
        <v>9.6666666666666609E-2</v>
      </c>
      <c r="AJ12" s="4">
        <f t="shared" si="0"/>
        <v>9.9999999999999936E-2</v>
      </c>
    </row>
    <row r="13" spans="2:36" x14ac:dyDescent="0.25">
      <c r="B13" s="2" t="s">
        <v>10</v>
      </c>
      <c r="C13" s="2">
        <v>100</v>
      </c>
      <c r="E13" t="s">
        <v>7</v>
      </c>
      <c r="F13" s="5">
        <f>C12</f>
        <v>300</v>
      </c>
      <c r="G13" s="5">
        <v>287.51358869097902</v>
      </c>
      <c r="H13" s="5">
        <v>275.02717738195804</v>
      </c>
      <c r="I13" s="5">
        <v>262.7988284329391</v>
      </c>
      <c r="J13" s="5">
        <v>250.57047948392017</v>
      </c>
      <c r="K13" s="5">
        <v>238.84633327570265</v>
      </c>
      <c r="L13" s="5">
        <v>227.12218706748507</v>
      </c>
      <c r="M13" s="5">
        <v>216.12517295193848</v>
      </c>
      <c r="N13" s="5">
        <v>205.12815883639189</v>
      </c>
      <c r="O13" s="5">
        <v>195.04792469785139</v>
      </c>
      <c r="P13" s="5">
        <v>184.96769055931088</v>
      </c>
      <c r="Q13" s="5">
        <v>175.95224771642688</v>
      </c>
      <c r="R13" s="5">
        <v>166.93680487354291</v>
      </c>
      <c r="S13" s="5">
        <v>159.08626460201555</v>
      </c>
      <c r="T13" s="5">
        <v>151.23572433048821</v>
      </c>
      <c r="U13" s="5">
        <v>144.59836361834658</v>
      </c>
      <c r="V13" s="5">
        <v>137.96100290620495</v>
      </c>
      <c r="W13" s="5">
        <v>132.53175448776179</v>
      </c>
      <c r="X13" s="5">
        <v>127.10250606931865</v>
      </c>
      <c r="Y13" s="5">
        <v>122.82383460138519</v>
      </c>
      <c r="Z13" s="5">
        <v>118.54516313345178</v>
      </c>
      <c r="AA13" s="5">
        <v>115.31017601502325</v>
      </c>
      <c r="AB13" s="5">
        <v>112.07518889659477</v>
      </c>
      <c r="AC13" s="5">
        <v>109.73274306633451</v>
      </c>
      <c r="AD13" s="5">
        <v>107.3902972360743</v>
      </c>
      <c r="AE13" s="5">
        <v>105.75180415643348</v>
      </c>
      <c r="AF13" s="5">
        <v>104.1133110767927</v>
      </c>
      <c r="AG13" s="5">
        <v>102.96090866158893</v>
      </c>
      <c r="AH13" s="5">
        <v>101.80850624638518</v>
      </c>
      <c r="AI13" s="5">
        <v>100.90425312319259</v>
      </c>
      <c r="AJ13" s="5">
        <f>C13</f>
        <v>100</v>
      </c>
    </row>
    <row r="15" spans="2:36" x14ac:dyDescent="0.25">
      <c r="E15" t="s">
        <v>11</v>
      </c>
      <c r="G15" s="1">
        <f>G13+(($C$10*$C$5)/($C$9*$C$8))*((H13-2*G13+F13)/($C$4^2))</f>
        <v>287.51358869097902</v>
      </c>
      <c r="H15" s="1">
        <f t="shared" ref="H15:AI15" si="1">H13+(($C$10*$C$5)/($C$9*$C$8))*((I13-2*H13+G13)/($C$4^2))</f>
        <v>275.15620856195903</v>
      </c>
      <c r="I15" s="1">
        <f t="shared" si="1"/>
        <v>262.7988284329391</v>
      </c>
      <c r="J15" s="1">
        <f t="shared" si="1"/>
        <v>250.82258085432088</v>
      </c>
      <c r="K15" s="1">
        <f t="shared" si="1"/>
        <v>238.84633327570262</v>
      </c>
      <c r="L15" s="1">
        <f t="shared" si="1"/>
        <v>227.48575311382058</v>
      </c>
      <c r="M15" s="1">
        <f t="shared" si="1"/>
        <v>216.12517295193848</v>
      </c>
      <c r="N15" s="1">
        <f t="shared" si="1"/>
        <v>205.58654882489492</v>
      </c>
      <c r="O15" s="1">
        <f t="shared" si="1"/>
        <v>195.04792469785139</v>
      </c>
      <c r="P15" s="1">
        <f t="shared" si="1"/>
        <v>185.50008620713913</v>
      </c>
      <c r="Q15" s="1">
        <f t="shared" si="1"/>
        <v>175.95224771642688</v>
      </c>
      <c r="R15" s="1">
        <f t="shared" si="1"/>
        <v>167.51925615922121</v>
      </c>
      <c r="S15" s="1">
        <f t="shared" si="1"/>
        <v>159.08626460201555</v>
      </c>
      <c r="T15" s="1">
        <f t="shared" si="1"/>
        <v>151.84231411018106</v>
      </c>
      <c r="U15" s="1">
        <f t="shared" si="1"/>
        <v>144.59836361834658</v>
      </c>
      <c r="V15" s="1">
        <f t="shared" si="1"/>
        <v>138.5650590530542</v>
      </c>
      <c r="W15" s="1">
        <f t="shared" si="1"/>
        <v>132.53175448776182</v>
      </c>
      <c r="X15" s="1">
        <f t="shared" si="1"/>
        <v>127.67779454457349</v>
      </c>
      <c r="Y15" s="1">
        <f t="shared" si="1"/>
        <v>122.82383460138522</v>
      </c>
      <c r="Z15" s="1">
        <f t="shared" si="1"/>
        <v>119.06700530820422</v>
      </c>
      <c r="AA15" s="1">
        <f t="shared" si="1"/>
        <v>115.31017601502327</v>
      </c>
      <c r="AB15" s="1">
        <f t="shared" si="1"/>
        <v>112.52145954067888</v>
      </c>
      <c r="AC15" s="1">
        <f t="shared" si="1"/>
        <v>109.73274306633454</v>
      </c>
      <c r="AD15" s="1">
        <f t="shared" si="1"/>
        <v>107.74227361138399</v>
      </c>
      <c r="AE15" s="1">
        <f t="shared" si="1"/>
        <v>105.75180415643351</v>
      </c>
      <c r="AF15" s="1">
        <f t="shared" si="1"/>
        <v>104.3563564090112</v>
      </c>
      <c r="AG15" s="1">
        <f t="shared" si="1"/>
        <v>102.96090866158895</v>
      </c>
      <c r="AH15" s="1">
        <f t="shared" si="1"/>
        <v>101.93258089239076</v>
      </c>
      <c r="AI15" s="1">
        <f t="shared" si="1"/>
        <v>100.90425312319259</v>
      </c>
    </row>
  </sheetData>
  <conditionalFormatting sqref="F13:AJ13">
    <cfRule type="colorScale" priority="1">
      <colorScale>
        <cfvo type="min"/>
        <cfvo type="percentile" val="50"/>
        <cfvo type="max"/>
        <color theme="8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16"/>
  <sheetViews>
    <sheetView zoomScale="60" zoomScaleNormal="60" workbookViewId="0">
      <selection activeCell="G19" sqref="G19"/>
    </sheetView>
  </sheetViews>
  <sheetFormatPr defaultRowHeight="15" x14ac:dyDescent="0.25"/>
  <cols>
    <col min="3" max="3" width="9.5703125" bestFit="1" customWidth="1"/>
    <col min="7" max="7" width="14.28515625" bestFit="1" customWidth="1"/>
    <col min="8" max="36" width="11.5703125" bestFit="1" customWidth="1"/>
  </cols>
  <sheetData>
    <row r="3" spans="2:36" x14ac:dyDescent="0.25">
      <c r="B3" s="2" t="s">
        <v>0</v>
      </c>
      <c r="C3" s="2">
        <v>0.1</v>
      </c>
    </row>
    <row r="4" spans="2:36" x14ac:dyDescent="0.25">
      <c r="B4" s="2" t="s">
        <v>1</v>
      </c>
      <c r="C4" s="3">
        <f>C3/30</f>
        <v>3.3333333333333335E-3</v>
      </c>
    </row>
    <row r="5" spans="2:36" x14ac:dyDescent="0.25">
      <c r="B5" s="2" t="s">
        <v>2</v>
      </c>
      <c r="C5" s="3">
        <f>(C9*C8*C4^2)/(2*C10)</f>
        <v>0.4333333333333334</v>
      </c>
    </row>
    <row r="6" spans="2:36" x14ac:dyDescent="0.25">
      <c r="B6" s="2" t="s">
        <v>3</v>
      </c>
      <c r="C6" s="2">
        <v>5000</v>
      </c>
      <c r="D6">
        <v>5000.2333333333345</v>
      </c>
    </row>
    <row r="7" spans="2:36" x14ac:dyDescent="0.25">
      <c r="B7" s="1"/>
      <c r="C7" s="1"/>
    </row>
    <row r="8" spans="2:36" x14ac:dyDescent="0.25">
      <c r="B8" s="2" t="s">
        <v>4</v>
      </c>
      <c r="C8" s="2">
        <v>460</v>
      </c>
    </row>
    <row r="9" spans="2:36" x14ac:dyDescent="0.25">
      <c r="B9" s="2" t="s">
        <v>5</v>
      </c>
      <c r="C9" s="2">
        <v>7800</v>
      </c>
    </row>
    <row r="10" spans="2:36" x14ac:dyDescent="0.25">
      <c r="B10" s="2" t="s">
        <v>6</v>
      </c>
      <c r="C10" s="2">
        <v>46</v>
      </c>
    </row>
    <row r="11" spans="2:36" x14ac:dyDescent="0.25">
      <c r="B11" s="1"/>
      <c r="C11" s="1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25">
      <c r="B12" s="2" t="s">
        <v>9</v>
      </c>
      <c r="C12" s="2">
        <v>92000</v>
      </c>
      <c r="E12" t="s">
        <v>0</v>
      </c>
      <c r="F12" s="4">
        <v>0</v>
      </c>
      <c r="G12" s="4">
        <f>F12+$C$4</f>
        <v>3.3333333333333335E-3</v>
      </c>
      <c r="H12" s="4">
        <f t="shared" ref="H12:AJ12" si="0">G12+$C$4</f>
        <v>6.6666666666666671E-3</v>
      </c>
      <c r="I12" s="4">
        <f t="shared" si="0"/>
        <v>0.01</v>
      </c>
      <c r="J12" s="4">
        <f t="shared" si="0"/>
        <v>1.3333333333333334E-2</v>
      </c>
      <c r="K12" s="4">
        <f t="shared" si="0"/>
        <v>1.6666666666666666E-2</v>
      </c>
      <c r="L12" s="4">
        <f t="shared" si="0"/>
        <v>0.02</v>
      </c>
      <c r="M12" s="4">
        <f t="shared" si="0"/>
        <v>2.3333333333333334E-2</v>
      </c>
      <c r="N12" s="4">
        <f t="shared" si="0"/>
        <v>2.6666666666666668E-2</v>
      </c>
      <c r="O12" s="4">
        <f t="shared" si="0"/>
        <v>3.0000000000000002E-2</v>
      </c>
      <c r="P12" s="4">
        <f t="shared" si="0"/>
        <v>3.3333333333333333E-2</v>
      </c>
      <c r="Q12" s="4">
        <f t="shared" si="0"/>
        <v>3.6666666666666667E-2</v>
      </c>
      <c r="R12" s="4">
        <f t="shared" si="0"/>
        <v>0.04</v>
      </c>
      <c r="S12" s="4">
        <f t="shared" si="0"/>
        <v>4.3333333333333335E-2</v>
      </c>
      <c r="T12" s="4">
        <f t="shared" si="0"/>
        <v>4.6666666666666669E-2</v>
      </c>
      <c r="U12" s="4">
        <f t="shared" si="0"/>
        <v>0.05</v>
      </c>
      <c r="V12" s="4">
        <f t="shared" si="0"/>
        <v>5.3333333333333337E-2</v>
      </c>
      <c r="W12" s="4">
        <f t="shared" si="0"/>
        <v>5.6666666666666671E-2</v>
      </c>
      <c r="X12" s="4">
        <f t="shared" si="0"/>
        <v>6.0000000000000005E-2</v>
      </c>
      <c r="Y12" s="4">
        <f t="shared" si="0"/>
        <v>6.3333333333333339E-2</v>
      </c>
      <c r="Z12" s="4">
        <f t="shared" si="0"/>
        <v>6.6666666666666666E-2</v>
      </c>
      <c r="AA12" s="4">
        <f t="shared" si="0"/>
        <v>6.9999999999999993E-2</v>
      </c>
      <c r="AB12" s="4">
        <f t="shared" si="0"/>
        <v>7.333333333333332E-2</v>
      </c>
      <c r="AC12" s="4">
        <f t="shared" si="0"/>
        <v>7.6666666666666647E-2</v>
      </c>
      <c r="AD12" s="4">
        <f t="shared" si="0"/>
        <v>7.9999999999999974E-2</v>
      </c>
      <c r="AE12" s="4">
        <f t="shared" si="0"/>
        <v>8.3333333333333301E-2</v>
      </c>
      <c r="AF12" s="4">
        <f t="shared" si="0"/>
        <v>8.6666666666666628E-2</v>
      </c>
      <c r="AG12" s="4">
        <f t="shared" si="0"/>
        <v>8.9999999999999955E-2</v>
      </c>
      <c r="AH12" s="4">
        <f t="shared" si="0"/>
        <v>9.3333333333333282E-2</v>
      </c>
      <c r="AI12" s="4">
        <f t="shared" si="0"/>
        <v>9.6666666666666609E-2</v>
      </c>
      <c r="AJ12" s="4">
        <f t="shared" si="0"/>
        <v>9.9999999999999936E-2</v>
      </c>
    </row>
    <row r="13" spans="2:36" x14ac:dyDescent="0.25">
      <c r="B13" s="2" t="s">
        <v>10</v>
      </c>
      <c r="C13" s="2">
        <v>100</v>
      </c>
      <c r="E13" t="s">
        <v>7</v>
      </c>
      <c r="F13" s="5">
        <f>(F16/C10)*C4+G13</f>
        <v>299.99997763108735</v>
      </c>
      <c r="G13" s="5">
        <v>293.33331096442066</v>
      </c>
      <c r="H13" s="5">
        <v>286.6666443611611</v>
      </c>
      <c r="I13" s="5">
        <v>279.99997782112894</v>
      </c>
      <c r="J13" s="5">
        <v>273.33331134396514</v>
      </c>
      <c r="K13" s="5">
        <v>266.66664492913264</v>
      </c>
      <c r="L13" s="5">
        <v>259.99997857591751</v>
      </c>
      <c r="M13" s="5">
        <v>253.3333122834313</v>
      </c>
      <c r="N13" s="5">
        <v>246.66664605061328</v>
      </c>
      <c r="O13" s="5">
        <v>239.99997987623377</v>
      </c>
      <c r="P13" s="5">
        <v>233.33331375889719</v>
      </c>
      <c r="Q13" s="5">
        <v>226.66664769704656</v>
      </c>
      <c r="R13" s="5">
        <v>219.9999816889673</v>
      </c>
      <c r="S13" s="5">
        <v>213.33331573279273</v>
      </c>
      <c r="T13" s="5">
        <v>206.66664982650872</v>
      </c>
      <c r="U13" s="5">
        <v>199.99998396796005</v>
      </c>
      <c r="V13" s="5">
        <v>193.33331815485587</v>
      </c>
      <c r="W13" s="5">
        <v>186.6666523847768</v>
      </c>
      <c r="X13" s="5">
        <v>179.99998665518126</v>
      </c>
      <c r="Y13" s="5">
        <v>173.33332096341309</v>
      </c>
      <c r="Z13" s="5">
        <v>166.66665530670878</v>
      </c>
      <c r="AA13" s="5">
        <v>159.9999896822055</v>
      </c>
      <c r="AB13" s="5">
        <v>153.33332408694912</v>
      </c>
      <c r="AC13" s="5">
        <v>146.66665851790265</v>
      </c>
      <c r="AD13" s="5">
        <v>139.99999297195473</v>
      </c>
      <c r="AE13" s="5">
        <v>133.33332744592857</v>
      </c>
      <c r="AF13" s="5">
        <v>126.66666193659087</v>
      </c>
      <c r="AG13" s="5">
        <v>119.99999644066111</v>
      </c>
      <c r="AH13" s="5">
        <v>113.3333309548207</v>
      </c>
      <c r="AI13" s="5">
        <v>106.66666547572241</v>
      </c>
      <c r="AJ13" s="5">
        <f>C13</f>
        <v>100</v>
      </c>
    </row>
    <row r="15" spans="2:36" x14ac:dyDescent="0.25">
      <c r="E15" t="s">
        <v>11</v>
      </c>
      <c r="G15" s="1">
        <f>G13+(($C$10*$C$5)/($C$9*$C$8))*((H13-2*G13+F13)/($C$4^2))</f>
        <v>293.33331099612423</v>
      </c>
      <c r="H15" s="1">
        <f t="shared" ref="H15:AI15" si="1">H13+(($C$10*$C$5)/($C$9*$C$8))*((I13-2*H13+G13)/($C$4^2))</f>
        <v>286.6666443927748</v>
      </c>
      <c r="I15" s="1">
        <f t="shared" si="1"/>
        <v>279.99997785256312</v>
      </c>
      <c r="J15" s="1">
        <f t="shared" si="1"/>
        <v>273.33331137513079</v>
      </c>
      <c r="K15" s="1">
        <f t="shared" si="1"/>
        <v>266.66664495994132</v>
      </c>
      <c r="L15" s="1">
        <f t="shared" si="1"/>
        <v>259.99997860628196</v>
      </c>
      <c r="M15" s="1">
        <f t="shared" si="1"/>
        <v>253.3333123132654</v>
      </c>
      <c r="N15" s="1">
        <f t="shared" si="1"/>
        <v>246.66664607983253</v>
      </c>
      <c r="O15" s="1">
        <f t="shared" si="1"/>
        <v>239.99997990475524</v>
      </c>
      <c r="P15" s="1">
        <f t="shared" si="1"/>
        <v>233.33331378664016</v>
      </c>
      <c r="Q15" s="1">
        <f t="shared" si="1"/>
        <v>226.66664772393224</v>
      </c>
      <c r="R15" s="1">
        <f t="shared" si="1"/>
        <v>219.99998171491964</v>
      </c>
      <c r="S15" s="1">
        <f t="shared" si="1"/>
        <v>213.33331575773801</v>
      </c>
      <c r="T15" s="1">
        <f t="shared" si="1"/>
        <v>206.66664985037639</v>
      </c>
      <c r="U15" s="1">
        <f t="shared" si="1"/>
        <v>199.9999839906823</v>
      </c>
      <c r="V15" s="1">
        <f t="shared" si="1"/>
        <v>193.33331817636844</v>
      </c>
      <c r="W15" s="1">
        <f t="shared" si="1"/>
        <v>186.66665240501857</v>
      </c>
      <c r="X15" s="1">
        <f t="shared" si="1"/>
        <v>179.99998667409494</v>
      </c>
      <c r="Y15" s="1">
        <f t="shared" si="1"/>
        <v>173.33332098094502</v>
      </c>
      <c r="Z15" s="1">
        <f t="shared" si="1"/>
        <v>166.66665532280928</v>
      </c>
      <c r="AA15" s="1">
        <f t="shared" si="1"/>
        <v>159.99998969682895</v>
      </c>
      <c r="AB15" s="1">
        <f t="shared" si="1"/>
        <v>153.33332410005409</v>
      </c>
      <c r="AC15" s="1">
        <f t="shared" si="1"/>
        <v>146.66665852945192</v>
      </c>
      <c r="AD15" s="1">
        <f t="shared" si="1"/>
        <v>139.99999298191563</v>
      </c>
      <c r="AE15" s="1">
        <f t="shared" si="1"/>
        <v>133.33332745427279</v>
      </c>
      <c r="AF15" s="1">
        <f t="shared" si="1"/>
        <v>126.66666194329484</v>
      </c>
      <c r="AG15" s="1">
        <f t="shared" si="1"/>
        <v>119.99999644570579</v>
      </c>
      <c r="AH15" s="1">
        <f t="shared" si="1"/>
        <v>113.33333095819177</v>
      </c>
      <c r="AI15" s="1">
        <f t="shared" si="1"/>
        <v>106.66666547741035</v>
      </c>
    </row>
    <row r="16" spans="2:36" x14ac:dyDescent="0.25">
      <c r="E16" t="s">
        <v>8</v>
      </c>
      <c r="F16">
        <f>C12</f>
        <v>92000</v>
      </c>
      <c r="G16">
        <f>-$C$10*((G13-F13)/$C$4)</f>
        <v>92000.000000000247</v>
      </c>
      <c r="H16">
        <f t="shared" ref="H16:AI16" si="2">-$C$10*((H13-G13)/$C$4)</f>
        <v>91999.999124981885</v>
      </c>
      <c r="I16">
        <f t="shared" si="2"/>
        <v>91999.998252443896</v>
      </c>
      <c r="J16">
        <f t="shared" si="2"/>
        <v>91999.997384860442</v>
      </c>
      <c r="K16">
        <f t="shared" si="2"/>
        <v>91999.996524688366</v>
      </c>
      <c r="L16">
        <f t="shared" si="2"/>
        <v>91999.995674368853</v>
      </c>
      <c r="M16">
        <f t="shared" si="2"/>
        <v>91999.994836309721</v>
      </c>
      <c r="N16">
        <f t="shared" si="2"/>
        <v>91999.994012888623</v>
      </c>
      <c r="O16">
        <f t="shared" si="2"/>
        <v>91999.993206437299</v>
      </c>
      <c r="P16">
        <f t="shared" si="2"/>
        <v>91999.992419244736</v>
      </c>
      <c r="Q16">
        <f t="shared" si="2"/>
        <v>91999.991653538746</v>
      </c>
      <c r="R16">
        <f t="shared" si="2"/>
        <v>91999.990911493791</v>
      </c>
      <c r="S16">
        <f t="shared" si="2"/>
        <v>91999.990195209044</v>
      </c>
      <c r="T16">
        <f t="shared" si="2"/>
        <v>91999.989506719328</v>
      </c>
      <c r="U16">
        <f t="shared" si="2"/>
        <v>91999.988847971617</v>
      </c>
      <c r="V16">
        <f t="shared" si="2"/>
        <v>91999.988220837593</v>
      </c>
      <c r="W16">
        <f t="shared" si="2"/>
        <v>91999.987627091265</v>
      </c>
      <c r="X16">
        <f t="shared" si="2"/>
        <v>91999.987068418384</v>
      </c>
      <c r="Y16">
        <f t="shared" si="2"/>
        <v>91999.986546400789</v>
      </c>
      <c r="Z16">
        <f t="shared" si="2"/>
        <v>91999.986062519471</v>
      </c>
      <c r="AA16">
        <f t="shared" si="2"/>
        <v>91999.985618145278</v>
      </c>
      <c r="AB16">
        <f t="shared" si="2"/>
        <v>91999.985214537985</v>
      </c>
      <c r="AC16">
        <f t="shared" si="2"/>
        <v>91999.984852841313</v>
      </c>
      <c r="AD16">
        <f t="shared" si="2"/>
        <v>91999.984534081304</v>
      </c>
      <c r="AE16">
        <f t="shared" si="2"/>
        <v>91999.984259160876</v>
      </c>
      <c r="AF16">
        <f t="shared" si="2"/>
        <v>91999.984028860315</v>
      </c>
      <c r="AG16">
        <f t="shared" si="2"/>
        <v>91999.98384383072</v>
      </c>
      <c r="AH16">
        <f t="shared" si="2"/>
        <v>91999.983704597675</v>
      </c>
      <c r="AI16">
        <f t="shared" si="2"/>
        <v>91999.983611556323</v>
      </c>
    </row>
  </sheetData>
  <conditionalFormatting sqref="F13:AJ13">
    <cfRule type="colorScale" priority="1">
      <colorScale>
        <cfvo type="min"/>
        <cfvo type="percentile" val="50"/>
        <cfvo type="max"/>
        <color theme="8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H17"/>
  <sheetViews>
    <sheetView zoomScale="85" zoomScaleNormal="85" workbookViewId="0">
      <selection activeCell="E12" sqref="E12:AG12"/>
    </sheetView>
  </sheetViews>
  <sheetFormatPr defaultRowHeight="15" x14ac:dyDescent="0.25"/>
  <sheetData>
    <row r="1" spans="1:34" x14ac:dyDescent="0.25">
      <c r="A1" s="2" t="s">
        <v>0</v>
      </c>
      <c r="B1" s="2">
        <v>0.3</v>
      </c>
    </row>
    <row r="2" spans="1:34" x14ac:dyDescent="0.25">
      <c r="A2" s="2" t="s">
        <v>1</v>
      </c>
      <c r="B2" s="3">
        <f>B1/30</f>
        <v>0.01</v>
      </c>
    </row>
    <row r="3" spans="1:34" x14ac:dyDescent="0.25">
      <c r="A3" s="2" t="s">
        <v>2</v>
      </c>
      <c r="B3" s="3">
        <f>(B7*B6*B2^2)/(2*B8)</f>
        <v>0.43483502538071073</v>
      </c>
    </row>
    <row r="4" spans="1:34" x14ac:dyDescent="0.25">
      <c r="A4" s="2" t="s">
        <v>3</v>
      </c>
      <c r="B4" s="2">
        <v>500</v>
      </c>
      <c r="C4">
        <v>500.06027918781734</v>
      </c>
    </row>
    <row r="6" spans="1:34" x14ac:dyDescent="0.25">
      <c r="A6" s="2" t="s">
        <v>4</v>
      </c>
      <c r="B6" s="2">
        <v>385</v>
      </c>
    </row>
    <row r="7" spans="1:34" x14ac:dyDescent="0.25">
      <c r="A7" s="2" t="s">
        <v>5</v>
      </c>
      <c r="B7" s="2">
        <v>8900</v>
      </c>
    </row>
    <row r="8" spans="1:34" x14ac:dyDescent="0.25">
      <c r="A8" s="2" t="s">
        <v>6</v>
      </c>
      <c r="B8" s="2">
        <v>394</v>
      </c>
    </row>
    <row r="9" spans="1:34" x14ac:dyDescent="0.25">
      <c r="A9" s="2" t="s">
        <v>13</v>
      </c>
      <c r="B9" s="2">
        <v>1000</v>
      </c>
    </row>
    <row r="10" spans="1:34" x14ac:dyDescent="0.25">
      <c r="A10" s="2" t="s">
        <v>14</v>
      </c>
      <c r="B10" s="2">
        <v>-30</v>
      </c>
      <c r="D10" s="2">
        <v>1</v>
      </c>
      <c r="E10" s="2">
        <v>2</v>
      </c>
      <c r="F10" s="2">
        <v>3</v>
      </c>
      <c r="G10" s="2">
        <v>4</v>
      </c>
      <c r="H10" s="2">
        <v>5</v>
      </c>
      <c r="I10" s="2">
        <v>6</v>
      </c>
      <c r="J10" s="2">
        <v>7</v>
      </c>
      <c r="K10" s="2">
        <v>8</v>
      </c>
      <c r="L10" s="2">
        <v>9</v>
      </c>
      <c r="M10" s="2">
        <v>10</v>
      </c>
      <c r="N10" s="2">
        <v>11</v>
      </c>
      <c r="O10" s="2">
        <v>12</v>
      </c>
      <c r="P10" s="2">
        <v>13</v>
      </c>
      <c r="Q10" s="2">
        <v>14</v>
      </c>
      <c r="R10" s="2">
        <v>15</v>
      </c>
      <c r="S10" s="2">
        <v>16</v>
      </c>
      <c r="T10" s="2">
        <v>17</v>
      </c>
      <c r="U10" s="2">
        <v>18</v>
      </c>
      <c r="V10" s="2">
        <v>19</v>
      </c>
      <c r="W10" s="2">
        <v>20</v>
      </c>
      <c r="X10" s="2">
        <v>21</v>
      </c>
      <c r="Y10" s="2">
        <v>22</v>
      </c>
      <c r="Z10" s="2">
        <v>23</v>
      </c>
      <c r="AA10" s="2">
        <v>24</v>
      </c>
      <c r="AB10" s="2">
        <v>25</v>
      </c>
      <c r="AC10" s="2">
        <v>26</v>
      </c>
      <c r="AD10" s="2">
        <v>27</v>
      </c>
      <c r="AE10" s="2">
        <v>28</v>
      </c>
      <c r="AF10" s="2">
        <v>29</v>
      </c>
      <c r="AG10" s="2">
        <v>30</v>
      </c>
      <c r="AH10" s="2">
        <v>31</v>
      </c>
    </row>
    <row r="11" spans="1:34" x14ac:dyDescent="0.25">
      <c r="C11" s="1" t="s">
        <v>0</v>
      </c>
      <c r="D11" s="4">
        <v>0</v>
      </c>
      <c r="E11" s="4">
        <f>D11+$B$2</f>
        <v>0.01</v>
      </c>
      <c r="F11" s="4">
        <f t="shared" ref="F11:AH11" si="0">E11+$B$2</f>
        <v>0.02</v>
      </c>
      <c r="G11" s="4">
        <f t="shared" si="0"/>
        <v>0.03</v>
      </c>
      <c r="H11" s="4">
        <f t="shared" si="0"/>
        <v>0.04</v>
      </c>
      <c r="I11" s="4">
        <f t="shared" si="0"/>
        <v>0.05</v>
      </c>
      <c r="J11" s="4">
        <f t="shared" si="0"/>
        <v>6.0000000000000005E-2</v>
      </c>
      <c r="K11" s="4">
        <f t="shared" si="0"/>
        <v>7.0000000000000007E-2</v>
      </c>
      <c r="L11" s="4">
        <f t="shared" si="0"/>
        <v>0.08</v>
      </c>
      <c r="M11" s="4">
        <f t="shared" si="0"/>
        <v>0.09</v>
      </c>
      <c r="N11" s="4">
        <f t="shared" si="0"/>
        <v>9.9999999999999992E-2</v>
      </c>
      <c r="O11" s="4">
        <f t="shared" si="0"/>
        <v>0.10999999999999999</v>
      </c>
      <c r="P11" s="4">
        <f t="shared" si="0"/>
        <v>0.11999999999999998</v>
      </c>
      <c r="Q11" s="4">
        <f t="shared" si="0"/>
        <v>0.12999999999999998</v>
      </c>
      <c r="R11" s="4">
        <f t="shared" si="0"/>
        <v>0.13999999999999999</v>
      </c>
      <c r="S11" s="4">
        <f t="shared" si="0"/>
        <v>0.15</v>
      </c>
      <c r="T11" s="4">
        <f t="shared" si="0"/>
        <v>0.16</v>
      </c>
      <c r="U11" s="4">
        <f t="shared" si="0"/>
        <v>0.17</v>
      </c>
      <c r="V11" s="4">
        <f t="shared" si="0"/>
        <v>0.18000000000000002</v>
      </c>
      <c r="W11" s="4">
        <f t="shared" si="0"/>
        <v>0.19000000000000003</v>
      </c>
      <c r="X11" s="4">
        <f t="shared" si="0"/>
        <v>0.20000000000000004</v>
      </c>
      <c r="Y11" s="4">
        <f t="shared" si="0"/>
        <v>0.21000000000000005</v>
      </c>
      <c r="Z11" s="4">
        <f t="shared" si="0"/>
        <v>0.22000000000000006</v>
      </c>
      <c r="AA11" s="4">
        <f t="shared" si="0"/>
        <v>0.23000000000000007</v>
      </c>
      <c r="AB11" s="4">
        <f t="shared" si="0"/>
        <v>0.24000000000000007</v>
      </c>
      <c r="AC11" s="4">
        <f t="shared" si="0"/>
        <v>0.25000000000000006</v>
      </c>
      <c r="AD11" s="4">
        <f t="shared" si="0"/>
        <v>0.26000000000000006</v>
      </c>
      <c r="AE11" s="4">
        <f t="shared" si="0"/>
        <v>0.27000000000000007</v>
      </c>
      <c r="AF11" s="4">
        <f t="shared" si="0"/>
        <v>0.28000000000000008</v>
      </c>
      <c r="AG11" s="4">
        <f t="shared" si="0"/>
        <v>0.29000000000000009</v>
      </c>
      <c r="AH11" s="4">
        <f t="shared" si="0"/>
        <v>0.3000000000000001</v>
      </c>
    </row>
    <row r="12" spans="1:34" x14ac:dyDescent="0.25">
      <c r="C12" s="1" t="s">
        <v>7</v>
      </c>
      <c r="D12" s="5">
        <f>1/(B8+B9*B2)*(B8*E12+B9*B2*B10)</f>
        <v>-1.5504956484505958</v>
      </c>
      <c r="E12" s="5">
        <v>-0.82842701008639774</v>
      </c>
      <c r="F12" s="5">
        <v>-0.10663784787455594</v>
      </c>
      <c r="G12" s="5">
        <v>0.61486609622091504</v>
      </c>
      <c r="H12" s="5">
        <v>1.3360803874717733</v>
      </c>
      <c r="I12" s="5">
        <v>2.0570017058191619</v>
      </c>
      <c r="J12" s="5">
        <v>2.7776281743023108</v>
      </c>
      <c r="K12" s="5">
        <v>3.4979589540620952</v>
      </c>
      <c r="L12" s="5">
        <v>4.2179947552789869</v>
      </c>
      <c r="M12" s="5">
        <v>4.9377372382803832</v>
      </c>
      <c r="N12" s="5">
        <v>5.6571896839923212</v>
      </c>
      <c r="O12" s="5">
        <v>6.3763562281375075</v>
      </c>
      <c r="P12" s="5">
        <v>7.0952426606933567</v>
      </c>
      <c r="Q12" s="5">
        <v>7.8138555274028088</v>
      </c>
      <c r="R12" s="5">
        <v>8.5322030216012479</v>
      </c>
      <c r="S12" s="5">
        <v>9.2502939929577845</v>
      </c>
      <c r="T12" s="5">
        <v>9.9681388905676584</v>
      </c>
      <c r="U12" s="5">
        <v>10.685748722745561</v>
      </c>
      <c r="V12" s="5">
        <v>11.40313600768499</v>
      </c>
      <c r="W12" s="5">
        <v>12.120313730065948</v>
      </c>
      <c r="X12" s="5">
        <v>12.837296254980487</v>
      </c>
      <c r="Y12" s="5">
        <v>13.554098327011701</v>
      </c>
      <c r="Z12" s="5">
        <v>14.270735904547006</v>
      </c>
      <c r="AA12" s="5">
        <v>14.98722524484287</v>
      </c>
      <c r="AB12" s="5">
        <v>15.703583619234021</v>
      </c>
      <c r="AC12" s="5">
        <v>16.419828523619408</v>
      </c>
      <c r="AD12" s="5">
        <v>17.135978240277218</v>
      </c>
      <c r="AE12" s="5">
        <v>17.852051207379727</v>
      </c>
      <c r="AF12" s="5">
        <v>18.568066399908794</v>
      </c>
      <c r="AG12" s="5">
        <v>19.284042884496557</v>
      </c>
      <c r="AH12" s="5">
        <f>B17</f>
        <v>20</v>
      </c>
    </row>
    <row r="13" spans="1:34" x14ac:dyDescent="0.25"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</row>
    <row r="14" spans="1:34" x14ac:dyDescent="0.25">
      <c r="C14" s="1" t="s">
        <v>11</v>
      </c>
      <c r="D14" s="1"/>
      <c r="E14" s="1">
        <f>E12+(($B$8*$B$3)/($B$7*$B$6))*((F12-2*E12+D12)/($B$2^2))</f>
        <v>-0.82856674816257592</v>
      </c>
      <c r="F14" s="1">
        <f t="shared" ref="F14:AG14" si="1">F12+(($B$8*$B$3)/($B$7*$B$6))*((G12-2*F12+E12)/($B$2^2))</f>
        <v>-0.10678045693274135</v>
      </c>
      <c r="G14" s="1">
        <f t="shared" si="1"/>
        <v>0.61472126979860864</v>
      </c>
      <c r="H14" s="1">
        <f t="shared" si="1"/>
        <v>1.3359339010200384</v>
      </c>
      <c r="I14" s="1">
        <f t="shared" si="1"/>
        <v>2.056854280887042</v>
      </c>
      <c r="J14" s="1">
        <f t="shared" si="1"/>
        <v>2.7774803299406283</v>
      </c>
      <c r="K14" s="1">
        <f t="shared" si="1"/>
        <v>3.4978114647906491</v>
      </c>
      <c r="L14" s="1">
        <f t="shared" si="1"/>
        <v>4.217848096171239</v>
      </c>
      <c r="M14" s="1">
        <f t="shared" si="1"/>
        <v>4.9375922196356541</v>
      </c>
      <c r="N14" s="1">
        <f t="shared" si="1"/>
        <v>5.6570467332089454</v>
      </c>
      <c r="O14" s="1">
        <f t="shared" si="1"/>
        <v>6.376216172342839</v>
      </c>
      <c r="P14" s="1">
        <f t="shared" si="1"/>
        <v>7.0951058777701581</v>
      </c>
      <c r="Q14" s="1">
        <f t="shared" si="1"/>
        <v>7.8137228411473023</v>
      </c>
      <c r="R14" s="1">
        <f t="shared" si="1"/>
        <v>8.5320747601802971</v>
      </c>
      <c r="S14" s="1">
        <f t="shared" si="1"/>
        <v>9.2501709560844532</v>
      </c>
      <c r="T14" s="1">
        <f t="shared" si="1"/>
        <v>9.9680213578516721</v>
      </c>
      <c r="U14" s="1">
        <f t="shared" si="1"/>
        <v>10.685637449126325</v>
      </c>
      <c r="V14" s="1">
        <f t="shared" si="1"/>
        <v>11.403031226405755</v>
      </c>
      <c r="W14" s="1">
        <f t="shared" si="1"/>
        <v>12.120216131332739</v>
      </c>
      <c r="X14" s="1">
        <f t="shared" si="1"/>
        <v>12.837206028538825</v>
      </c>
      <c r="Y14" s="1">
        <f t="shared" si="1"/>
        <v>13.554016079763747</v>
      </c>
      <c r="Z14" s="1">
        <f t="shared" si="1"/>
        <v>14.270661785927285</v>
      </c>
      <c r="AA14" s="1">
        <f t="shared" si="1"/>
        <v>14.987159761890513</v>
      </c>
      <c r="AB14" s="1">
        <f t="shared" si="1"/>
        <v>15.703526884231138</v>
      </c>
      <c r="AC14" s="1">
        <f t="shared" si="1"/>
        <v>16.419780929755618</v>
      </c>
      <c r="AD14" s="1">
        <f t="shared" si="1"/>
        <v>17.135939865499566</v>
      </c>
      <c r="AE14" s="1">
        <f t="shared" si="1"/>
        <v>17.852022320093006</v>
      </c>
      <c r="AF14" s="1">
        <f t="shared" si="1"/>
        <v>18.568047045938144</v>
      </c>
      <c r="AG14" s="1">
        <f t="shared" si="1"/>
        <v>19.284033199954397</v>
      </c>
      <c r="AH14" s="1"/>
    </row>
    <row r="17" spans="1:2" x14ac:dyDescent="0.25">
      <c r="A17" s="2" t="s">
        <v>12</v>
      </c>
      <c r="B17" s="2">
        <v>20</v>
      </c>
    </row>
  </sheetData>
  <conditionalFormatting sqref="D12:AH12">
    <cfRule type="colorScale" priority="1">
      <colorScale>
        <cfvo type="min"/>
        <cfvo type="percentile" val="50"/>
        <cfvo type="max"/>
        <color theme="8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Гр.Ус 1</vt:lpstr>
      <vt:lpstr>Гр.ус 2</vt:lpstr>
      <vt:lpstr>Гр.Ус 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Администратор</dc:creator>
  <cp:lastModifiedBy>Администратор</cp:lastModifiedBy>
  <dcterms:created xsi:type="dcterms:W3CDTF">2021-09-15T19:02:23Z</dcterms:created>
  <dcterms:modified xsi:type="dcterms:W3CDTF">2021-10-13T16:07:02Z</dcterms:modified>
</cp:coreProperties>
</file>